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SENIOR HIGH SCHOOL\FORMS\ADVISERS\"/>
    </mc:Choice>
  </mc:AlternateContent>
  <xr:revisionPtr revIDLastSave="0" documentId="13_ncr:1_{598324E4-2A9D-4D01-A84E-61A92A94702A}" xr6:coauthVersionLast="47" xr6:coauthVersionMax="47" xr10:uidLastSave="{00000000-0000-0000-0000-000000000000}"/>
  <bookViews>
    <workbookView xWindow="-120" yWindow="-120" windowWidth="20730" windowHeight="11040" activeTab="1" xr2:uid="{00000000-000D-0000-FFFF-FFFF00000000}"/>
  </bookViews>
  <sheets>
    <sheet name="REMINDERS" sheetId="2" r:id="rId1"/>
    <sheet name="JUNE" sheetId="13" r:id="rId2"/>
    <sheet name="JULY" sheetId="12" r:id="rId3"/>
    <sheet name="AUGUST" sheetId="1" r:id="rId4"/>
    <sheet name="SEPTEMBER" sheetId="3" r:id="rId5"/>
    <sheet name="OCTOBER" sheetId="4" r:id="rId6"/>
    <sheet name="NOVEMBER" sheetId="5" r:id="rId7"/>
    <sheet name="DECEMBER" sheetId="6" r:id="rId8"/>
    <sheet name="JANUARY" sheetId="7" r:id="rId9"/>
    <sheet name="FEBRUARY" sheetId="8" r:id="rId10"/>
    <sheet name="MARCH" sheetId="9" r:id="rId11"/>
    <sheet name="APRIL"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8" i="13" l="1"/>
  <c r="AK14" i="10"/>
  <c r="AK28" i="10" s="1"/>
  <c r="AH66" i="5"/>
  <c r="AF66" i="5"/>
  <c r="AE66" i="5"/>
  <c r="AC66" i="5"/>
  <c r="AA66" i="5"/>
  <c r="Z66" i="5"/>
  <c r="AH65" i="5"/>
  <c r="AF65" i="5"/>
  <c r="AE65" i="5"/>
  <c r="AC65" i="5"/>
  <c r="AA65" i="5"/>
  <c r="Z65" i="5"/>
  <c r="AH28" i="5"/>
  <c r="AE28" i="5"/>
  <c r="AF28" i="5"/>
  <c r="AC28" i="5"/>
  <c r="AA28" i="5"/>
  <c r="Z28" i="5"/>
  <c r="AP74" i="10"/>
  <c r="AP72" i="10"/>
  <c r="AP70" i="10"/>
  <c r="AD65" i="10"/>
  <c r="W65" i="10"/>
  <c r="V65" i="10"/>
  <c r="U65" i="10"/>
  <c r="T65" i="10"/>
  <c r="S65" i="10"/>
  <c r="R65" i="10"/>
  <c r="Q65" i="10"/>
  <c r="P65" i="10"/>
  <c r="O65" i="10"/>
  <c r="M65" i="10"/>
  <c r="L65" i="10"/>
  <c r="K65" i="10"/>
  <c r="J65" i="10"/>
  <c r="I65" i="10"/>
  <c r="H65" i="10"/>
  <c r="G65" i="10"/>
  <c r="AM65" i="10"/>
  <c r="AL64" i="10"/>
  <c r="AK64" i="10"/>
  <c r="AL63" i="10"/>
  <c r="AK63" i="10"/>
  <c r="AL62" i="10"/>
  <c r="AK62" i="10"/>
  <c r="AL61" i="10"/>
  <c r="AK61" i="10"/>
  <c r="AL60" i="10"/>
  <c r="AK60" i="10"/>
  <c r="AL59" i="10"/>
  <c r="AK59" i="10"/>
  <c r="AL58" i="10"/>
  <c r="AK58" i="10"/>
  <c r="AL57" i="10"/>
  <c r="AK57" i="10"/>
  <c r="AL56" i="10"/>
  <c r="AK56" i="10"/>
  <c r="AL55" i="10"/>
  <c r="AK55" i="10"/>
  <c r="AL54" i="10"/>
  <c r="AK54" i="10"/>
  <c r="AL53" i="10"/>
  <c r="AK53" i="10"/>
  <c r="AL52" i="10"/>
  <c r="AK52" i="10"/>
  <c r="AL51" i="10"/>
  <c r="AK51" i="10"/>
  <c r="AL50" i="10"/>
  <c r="AK50" i="10"/>
  <c r="AL49" i="10"/>
  <c r="AK49" i="10"/>
  <c r="AL48" i="10"/>
  <c r="AK48" i="10"/>
  <c r="AL47" i="10"/>
  <c r="AK47" i="10"/>
  <c r="AL46" i="10"/>
  <c r="AK46" i="10"/>
  <c r="AL45" i="10"/>
  <c r="AK45" i="10"/>
  <c r="AL44" i="10"/>
  <c r="AK44" i="10"/>
  <c r="AL43" i="10"/>
  <c r="AK43" i="10"/>
  <c r="AL42" i="10"/>
  <c r="AK42" i="10"/>
  <c r="AL41" i="10"/>
  <c r="AK41" i="10"/>
  <c r="AL40" i="10"/>
  <c r="AK40" i="10"/>
  <c r="AL39" i="10"/>
  <c r="AK39" i="10"/>
  <c r="AL38" i="10"/>
  <c r="AK38" i="10"/>
  <c r="AL37" i="10"/>
  <c r="AK37" i="10"/>
  <c r="AL36" i="10"/>
  <c r="AK36" i="10"/>
  <c r="AL35" i="10"/>
  <c r="AK35" i="10"/>
  <c r="AL34" i="10"/>
  <c r="AK34" i="10"/>
  <c r="AL33" i="10"/>
  <c r="AK33" i="10"/>
  <c r="AL32" i="10"/>
  <c r="AK32" i="10"/>
  <c r="AL31" i="10"/>
  <c r="AK31" i="10"/>
  <c r="AL30" i="10"/>
  <c r="AK30" i="10"/>
  <c r="AL29" i="10"/>
  <c r="AL65" i="10" s="1"/>
  <c r="AK29" i="10"/>
  <c r="AK65" i="10" s="1"/>
  <c r="V28" i="10"/>
  <c r="V66" i="10" s="1"/>
  <c r="U28" i="10"/>
  <c r="U66" i="10" s="1"/>
  <c r="T28" i="10"/>
  <c r="T66" i="10" s="1"/>
  <c r="S28" i="10"/>
  <c r="S66" i="10" s="1"/>
  <c r="R28" i="10"/>
  <c r="R66" i="10" s="1"/>
  <c r="Q28" i="10"/>
  <c r="Q66" i="10" s="1"/>
  <c r="O28" i="10"/>
  <c r="O66" i="10" s="1"/>
  <c r="M28" i="10"/>
  <c r="M66" i="10" s="1"/>
  <c r="L28" i="10"/>
  <c r="L66" i="10" s="1"/>
  <c r="K28" i="10"/>
  <c r="K66" i="10" s="1"/>
  <c r="J28" i="10"/>
  <c r="J66" i="10" s="1"/>
  <c r="H28" i="10"/>
  <c r="H66" i="10" s="1"/>
  <c r="G28" i="10"/>
  <c r="G66" i="10" s="1"/>
  <c r="AL27" i="10"/>
  <c r="AK27" i="10"/>
  <c r="AL26" i="10"/>
  <c r="AK26" i="10"/>
  <c r="AL25" i="10"/>
  <c r="AK25" i="10"/>
  <c r="AL24" i="10"/>
  <c r="AK24" i="10"/>
  <c r="AL23" i="10"/>
  <c r="AK23" i="10"/>
  <c r="AL22" i="10"/>
  <c r="AK22" i="10"/>
  <c r="AL21" i="10"/>
  <c r="AK21" i="10"/>
  <c r="AL20" i="10"/>
  <c r="AK20" i="10"/>
  <c r="AL19" i="10"/>
  <c r="AK19" i="10"/>
  <c r="AL18" i="10"/>
  <c r="AK18" i="10"/>
  <c r="AL17" i="10"/>
  <c r="AK17" i="10"/>
  <c r="AL16" i="10"/>
  <c r="AK16" i="10"/>
  <c r="AL15" i="10"/>
  <c r="AK15" i="10"/>
  <c r="AL14" i="10"/>
  <c r="AG66" i="9"/>
  <c r="AF66" i="9"/>
  <c r="AE66" i="9"/>
  <c r="AG65" i="9"/>
  <c r="AF65" i="9"/>
  <c r="AE65" i="9"/>
  <c r="AG28" i="9"/>
  <c r="AF28" i="9"/>
  <c r="AE28" i="9"/>
  <c r="AP74" i="9"/>
  <c r="AP72" i="9"/>
  <c r="AP70" i="9"/>
  <c r="AB66" i="9"/>
  <c r="S66" i="9"/>
  <c r="J66" i="9"/>
  <c r="AD65" i="9"/>
  <c r="AC65" i="9"/>
  <c r="AB65" i="9"/>
  <c r="AA65" i="9"/>
  <c r="Z65" i="9"/>
  <c r="Y65" i="9"/>
  <c r="X65" i="9"/>
  <c r="W65" i="9"/>
  <c r="V65" i="9"/>
  <c r="U65" i="9"/>
  <c r="T65" i="9"/>
  <c r="S65" i="9"/>
  <c r="R65" i="9"/>
  <c r="Q65" i="9"/>
  <c r="P65" i="9"/>
  <c r="O65" i="9"/>
  <c r="N65" i="9"/>
  <c r="M65" i="9"/>
  <c r="L65" i="9"/>
  <c r="K65" i="9"/>
  <c r="J65" i="9"/>
  <c r="I65" i="9"/>
  <c r="H65" i="9"/>
  <c r="G65" i="9"/>
  <c r="F65" i="9"/>
  <c r="E65" i="9"/>
  <c r="D65" i="9"/>
  <c r="C65" i="9"/>
  <c r="AM65" i="9" s="1"/>
  <c r="AL64" i="9"/>
  <c r="AK64" i="9"/>
  <c r="AL63" i="9"/>
  <c r="AK63" i="9"/>
  <c r="AL62" i="9"/>
  <c r="AK62" i="9"/>
  <c r="AL61" i="9"/>
  <c r="AK61" i="9"/>
  <c r="AL60" i="9"/>
  <c r="AK60" i="9"/>
  <c r="AL59" i="9"/>
  <c r="AK59" i="9"/>
  <c r="AL58" i="9"/>
  <c r="AK58" i="9"/>
  <c r="AL57" i="9"/>
  <c r="AK57" i="9"/>
  <c r="AL56" i="9"/>
  <c r="AK56" i="9"/>
  <c r="AL55" i="9"/>
  <c r="AK55" i="9"/>
  <c r="AL54" i="9"/>
  <c r="AK54" i="9"/>
  <c r="AL53" i="9"/>
  <c r="AK53" i="9"/>
  <c r="AL52" i="9"/>
  <c r="AK52" i="9"/>
  <c r="AL51" i="9"/>
  <c r="AK51" i="9"/>
  <c r="AL50" i="9"/>
  <c r="AK50" i="9"/>
  <c r="AL49" i="9"/>
  <c r="AK49" i="9"/>
  <c r="AL48" i="9"/>
  <c r="AK48" i="9"/>
  <c r="AL47" i="9"/>
  <c r="AK47" i="9"/>
  <c r="AL46" i="9"/>
  <c r="AK46" i="9"/>
  <c r="AL45" i="9"/>
  <c r="AK45" i="9"/>
  <c r="AL44" i="9"/>
  <c r="AK44" i="9"/>
  <c r="AL43" i="9"/>
  <c r="AK43" i="9"/>
  <c r="AL42" i="9"/>
  <c r="AK42" i="9"/>
  <c r="AL41" i="9"/>
  <c r="AK41" i="9"/>
  <c r="AL40" i="9"/>
  <c r="AK40" i="9"/>
  <c r="AL39" i="9"/>
  <c r="AK39" i="9"/>
  <c r="AL38" i="9"/>
  <c r="AK38" i="9"/>
  <c r="AL37" i="9"/>
  <c r="AK37" i="9"/>
  <c r="AL36" i="9"/>
  <c r="AK36" i="9"/>
  <c r="AL35" i="9"/>
  <c r="AK35" i="9"/>
  <c r="AL34" i="9"/>
  <c r="AK34" i="9"/>
  <c r="AL33" i="9"/>
  <c r="AK33" i="9"/>
  <c r="AL32" i="9"/>
  <c r="AK32" i="9"/>
  <c r="AL31" i="9"/>
  <c r="AL65" i="9" s="1"/>
  <c r="AK31" i="9"/>
  <c r="AL30" i="9"/>
  <c r="AK30" i="9"/>
  <c r="AL29" i="9"/>
  <c r="AK29" i="9"/>
  <c r="AK65" i="9" s="1"/>
  <c r="AC28" i="9"/>
  <c r="AC66" i="9" s="1"/>
  <c r="AB28" i="9"/>
  <c r="AA28" i="9"/>
  <c r="AA66" i="9" s="1"/>
  <c r="Z28" i="9"/>
  <c r="Z66" i="9" s="1"/>
  <c r="Y28" i="9"/>
  <c r="Y66" i="9" s="1"/>
  <c r="X28" i="9"/>
  <c r="X66" i="9" s="1"/>
  <c r="V28" i="9"/>
  <c r="V66" i="9" s="1"/>
  <c r="U28" i="9"/>
  <c r="U66" i="9" s="1"/>
  <c r="T28" i="9"/>
  <c r="T66" i="9" s="1"/>
  <c r="S28" i="9"/>
  <c r="R28" i="9"/>
  <c r="R66" i="9" s="1"/>
  <c r="Q28" i="9"/>
  <c r="Q66" i="9" s="1"/>
  <c r="O28" i="9"/>
  <c r="O66" i="9" s="1"/>
  <c r="N28" i="9"/>
  <c r="N66" i="9" s="1"/>
  <c r="M28" i="9"/>
  <c r="M66" i="9" s="1"/>
  <c r="L28" i="9"/>
  <c r="L66" i="9" s="1"/>
  <c r="K28" i="9"/>
  <c r="K66" i="9" s="1"/>
  <c r="J28" i="9"/>
  <c r="H28" i="9"/>
  <c r="H66" i="9" s="1"/>
  <c r="G28" i="9"/>
  <c r="G66" i="9" s="1"/>
  <c r="F28" i="9"/>
  <c r="F66" i="9" s="1"/>
  <c r="E28" i="9"/>
  <c r="E66" i="9" s="1"/>
  <c r="D28" i="9"/>
  <c r="D66" i="9" s="1"/>
  <c r="C28" i="9"/>
  <c r="C66" i="9" s="1"/>
  <c r="AL27" i="9"/>
  <c r="AK27" i="9"/>
  <c r="AL26" i="9"/>
  <c r="AK26" i="9"/>
  <c r="AL25" i="9"/>
  <c r="AK25" i="9"/>
  <c r="AL24" i="9"/>
  <c r="AK24" i="9"/>
  <c r="AL23" i="9"/>
  <c r="AK23" i="9"/>
  <c r="AL22" i="9"/>
  <c r="AK22" i="9"/>
  <c r="AL21" i="9"/>
  <c r="AK21" i="9"/>
  <c r="AL20" i="9"/>
  <c r="AK20" i="9"/>
  <c r="AL19" i="9"/>
  <c r="AK19" i="9"/>
  <c r="AL18" i="9"/>
  <c r="AK18" i="9"/>
  <c r="AL17" i="9"/>
  <c r="AK17" i="9"/>
  <c r="AL16" i="9"/>
  <c r="AK16" i="9"/>
  <c r="AK28" i="9" s="1"/>
  <c r="AK66" i="9" s="1"/>
  <c r="AL15" i="9"/>
  <c r="AK15" i="9"/>
  <c r="AL14" i="9"/>
  <c r="AL28" i="9" s="1"/>
  <c r="AL66" i="9" s="1"/>
  <c r="AK14" i="9"/>
  <c r="AP74" i="8"/>
  <c r="AP72" i="8"/>
  <c r="AP70" i="8"/>
  <c r="AB66" i="8"/>
  <c r="S66" i="8"/>
  <c r="J66" i="8"/>
  <c r="AD65" i="8"/>
  <c r="AC65" i="8"/>
  <c r="AB65" i="8"/>
  <c r="AA65" i="8"/>
  <c r="Z65" i="8"/>
  <c r="Y65" i="8"/>
  <c r="X65" i="8"/>
  <c r="W65" i="8"/>
  <c r="V65" i="8"/>
  <c r="U65" i="8"/>
  <c r="T65" i="8"/>
  <c r="S65" i="8"/>
  <c r="R65" i="8"/>
  <c r="Q65" i="8"/>
  <c r="P65" i="8"/>
  <c r="O65" i="8"/>
  <c r="N65" i="8"/>
  <c r="M65" i="8"/>
  <c r="L65" i="8"/>
  <c r="K65" i="8"/>
  <c r="J65" i="8"/>
  <c r="I65" i="8"/>
  <c r="H65" i="8"/>
  <c r="G65" i="8"/>
  <c r="F65" i="8"/>
  <c r="E65" i="8"/>
  <c r="D65" i="8"/>
  <c r="C65" i="8"/>
  <c r="AM65" i="8" s="1"/>
  <c r="AL64" i="8"/>
  <c r="AK64" i="8"/>
  <c r="AL63" i="8"/>
  <c r="AK63" i="8"/>
  <c r="AL62" i="8"/>
  <c r="AK62" i="8"/>
  <c r="AL61" i="8"/>
  <c r="AK61" i="8"/>
  <c r="AL60" i="8"/>
  <c r="AK60" i="8"/>
  <c r="AL59" i="8"/>
  <c r="AK59" i="8"/>
  <c r="AL58" i="8"/>
  <c r="AK58" i="8"/>
  <c r="AL57" i="8"/>
  <c r="AK57" i="8"/>
  <c r="AL56" i="8"/>
  <c r="AK56" i="8"/>
  <c r="AL55" i="8"/>
  <c r="AK55" i="8"/>
  <c r="AL54" i="8"/>
  <c r="AK54" i="8"/>
  <c r="AL53" i="8"/>
  <c r="AK53" i="8"/>
  <c r="AL52" i="8"/>
  <c r="AK52" i="8"/>
  <c r="AL51" i="8"/>
  <c r="AK51" i="8"/>
  <c r="AL50" i="8"/>
  <c r="AK50" i="8"/>
  <c r="AL49" i="8"/>
  <c r="AK49" i="8"/>
  <c r="AL48" i="8"/>
  <c r="AK48" i="8"/>
  <c r="AL47" i="8"/>
  <c r="AK47" i="8"/>
  <c r="AL46" i="8"/>
  <c r="AK46" i="8"/>
  <c r="AL45" i="8"/>
  <c r="AK45" i="8"/>
  <c r="AL44" i="8"/>
  <c r="AK44" i="8"/>
  <c r="AL43" i="8"/>
  <c r="AK43" i="8"/>
  <c r="AL42" i="8"/>
  <c r="AK42" i="8"/>
  <c r="AL41" i="8"/>
  <c r="AK41" i="8"/>
  <c r="AL40" i="8"/>
  <c r="AK40" i="8"/>
  <c r="AL39" i="8"/>
  <c r="AK39" i="8"/>
  <c r="AL38" i="8"/>
  <c r="AK38" i="8"/>
  <c r="AL37" i="8"/>
  <c r="AK37" i="8"/>
  <c r="AL36" i="8"/>
  <c r="AK36" i="8"/>
  <c r="AL35" i="8"/>
  <c r="AK35" i="8"/>
  <c r="AL34" i="8"/>
  <c r="AK34" i="8"/>
  <c r="AL33" i="8"/>
  <c r="AK33" i="8"/>
  <c r="AL32" i="8"/>
  <c r="AK32" i="8"/>
  <c r="AL31" i="8"/>
  <c r="AL65" i="8" s="1"/>
  <c r="AK31" i="8"/>
  <c r="AL30" i="8"/>
  <c r="AK30" i="8"/>
  <c r="AL29" i="8"/>
  <c r="AK29" i="8"/>
  <c r="AK65" i="8" s="1"/>
  <c r="AC28" i="8"/>
  <c r="AC66" i="8" s="1"/>
  <c r="AB28" i="8"/>
  <c r="AA28" i="8"/>
  <c r="AA66" i="8" s="1"/>
  <c r="Z28" i="8"/>
  <c r="Z66" i="8" s="1"/>
  <c r="Y28" i="8"/>
  <c r="Y66" i="8" s="1"/>
  <c r="X28" i="8"/>
  <c r="X66" i="8" s="1"/>
  <c r="V28" i="8"/>
  <c r="V66" i="8" s="1"/>
  <c r="U28" i="8"/>
  <c r="U66" i="8" s="1"/>
  <c r="T28" i="8"/>
  <c r="T66" i="8" s="1"/>
  <c r="S28" i="8"/>
  <c r="R28" i="8"/>
  <c r="R66" i="8" s="1"/>
  <c r="Q28" i="8"/>
  <c r="Q66" i="8" s="1"/>
  <c r="O28" i="8"/>
  <c r="O66" i="8" s="1"/>
  <c r="N28" i="8"/>
  <c r="N66" i="8" s="1"/>
  <c r="M28" i="8"/>
  <c r="M66" i="8" s="1"/>
  <c r="L28" i="8"/>
  <c r="L66" i="8" s="1"/>
  <c r="K28" i="8"/>
  <c r="K66" i="8" s="1"/>
  <c r="J28" i="8"/>
  <c r="H28" i="8"/>
  <c r="H66" i="8" s="1"/>
  <c r="G28" i="8"/>
  <c r="G66" i="8" s="1"/>
  <c r="F28" i="8"/>
  <c r="F66" i="8" s="1"/>
  <c r="E28" i="8"/>
  <c r="E66" i="8" s="1"/>
  <c r="D28" i="8"/>
  <c r="D66" i="8" s="1"/>
  <c r="C28" i="8"/>
  <c r="C66" i="8" s="1"/>
  <c r="AL27" i="8"/>
  <c r="AK27" i="8"/>
  <c r="AL26" i="8"/>
  <c r="AK26" i="8"/>
  <c r="AL25" i="8"/>
  <c r="AK25" i="8"/>
  <c r="AL24" i="8"/>
  <c r="AK24" i="8"/>
  <c r="AL23" i="8"/>
  <c r="AK23" i="8"/>
  <c r="AL22" i="8"/>
  <c r="AK22" i="8"/>
  <c r="AL21" i="8"/>
  <c r="AK21" i="8"/>
  <c r="AL20" i="8"/>
  <c r="AK20" i="8"/>
  <c r="AL19" i="8"/>
  <c r="AK19" i="8"/>
  <c r="AL18" i="8"/>
  <c r="AK18" i="8"/>
  <c r="AL17" i="8"/>
  <c r="AK17" i="8"/>
  <c r="AL16" i="8"/>
  <c r="AK16" i="8"/>
  <c r="AK28" i="8" s="1"/>
  <c r="AK66" i="8" s="1"/>
  <c r="AL15" i="8"/>
  <c r="AK15" i="8"/>
  <c r="AL14" i="8"/>
  <c r="AL28" i="8" s="1"/>
  <c r="AL66" i="8" s="1"/>
  <c r="AK14" i="8"/>
  <c r="AP74" i="7"/>
  <c r="AP72" i="7"/>
  <c r="AP70" i="7"/>
  <c r="AC66" i="7"/>
  <c r="AB66" i="7"/>
  <c r="S66" i="7"/>
  <c r="O66" i="7"/>
  <c r="K66" i="7"/>
  <c r="J66" i="7"/>
  <c r="F66" i="7"/>
  <c r="AD65" i="7"/>
  <c r="AC65" i="7"/>
  <c r="AB65" i="7"/>
  <c r="AA65" i="7"/>
  <c r="Z65" i="7"/>
  <c r="Y65" i="7"/>
  <c r="Y66" i="7" s="1"/>
  <c r="X65" i="7"/>
  <c r="W65" i="7"/>
  <c r="V65" i="7"/>
  <c r="U65" i="7"/>
  <c r="T65" i="7"/>
  <c r="T66" i="7" s="1"/>
  <c r="S65" i="7"/>
  <c r="R65" i="7"/>
  <c r="Q65" i="7"/>
  <c r="P65" i="7"/>
  <c r="O65" i="7"/>
  <c r="N65" i="7"/>
  <c r="M65" i="7"/>
  <c r="L65" i="7"/>
  <c r="K65" i="7"/>
  <c r="J65" i="7"/>
  <c r="I65" i="7"/>
  <c r="H65" i="7"/>
  <c r="G65" i="7"/>
  <c r="F65" i="7"/>
  <c r="E65" i="7"/>
  <c r="D65" i="7"/>
  <c r="C65" i="7"/>
  <c r="AL64" i="7"/>
  <c r="AK64" i="7"/>
  <c r="AL63" i="7"/>
  <c r="AK63" i="7"/>
  <c r="AL62" i="7"/>
  <c r="AK62" i="7"/>
  <c r="AL61" i="7"/>
  <c r="AK61" i="7"/>
  <c r="AL60" i="7"/>
  <c r="AK60" i="7"/>
  <c r="AL59" i="7"/>
  <c r="AK59" i="7"/>
  <c r="AL58" i="7"/>
  <c r="AK58" i="7"/>
  <c r="AL57" i="7"/>
  <c r="AK57" i="7"/>
  <c r="AL56" i="7"/>
  <c r="AK56" i="7"/>
  <c r="AL55" i="7"/>
  <c r="AK55" i="7"/>
  <c r="AL54" i="7"/>
  <c r="AK54" i="7"/>
  <c r="AL53" i="7"/>
  <c r="AK53" i="7"/>
  <c r="AL52" i="7"/>
  <c r="AK52" i="7"/>
  <c r="AL51" i="7"/>
  <c r="AK51" i="7"/>
  <c r="AL50" i="7"/>
  <c r="AK50" i="7"/>
  <c r="AL49" i="7"/>
  <c r="AK49" i="7"/>
  <c r="AL48" i="7"/>
  <c r="AK48" i="7"/>
  <c r="AL47" i="7"/>
  <c r="AK47" i="7"/>
  <c r="AL46" i="7"/>
  <c r="AK46" i="7"/>
  <c r="AL45" i="7"/>
  <c r="AK45" i="7"/>
  <c r="AL44" i="7"/>
  <c r="AK44" i="7"/>
  <c r="AL43" i="7"/>
  <c r="AK43" i="7"/>
  <c r="AL42" i="7"/>
  <c r="AK42" i="7"/>
  <c r="AL41" i="7"/>
  <c r="AK41" i="7"/>
  <c r="AL40" i="7"/>
  <c r="AK40" i="7"/>
  <c r="AL39" i="7"/>
  <c r="AK39" i="7"/>
  <c r="AL38" i="7"/>
  <c r="AK38" i="7"/>
  <c r="AL37" i="7"/>
  <c r="AK37" i="7"/>
  <c r="AL36" i="7"/>
  <c r="AK36" i="7"/>
  <c r="AL35" i="7"/>
  <c r="AK35" i="7"/>
  <c r="AL34" i="7"/>
  <c r="AK34" i="7"/>
  <c r="AL33" i="7"/>
  <c r="AK33" i="7"/>
  <c r="AL32" i="7"/>
  <c r="AK32" i="7"/>
  <c r="AL31" i="7"/>
  <c r="AK31" i="7"/>
  <c r="AL30" i="7"/>
  <c r="AK30" i="7"/>
  <c r="AL29" i="7"/>
  <c r="AK29" i="7"/>
  <c r="AK65" i="7" s="1"/>
  <c r="AC28" i="7"/>
  <c r="AB28" i="7"/>
  <c r="AA28" i="7"/>
  <c r="AA66" i="7" s="1"/>
  <c r="Z28" i="7"/>
  <c r="Z66" i="7" s="1"/>
  <c r="Y28" i="7"/>
  <c r="X28" i="7"/>
  <c r="X66" i="7" s="1"/>
  <c r="V28" i="7"/>
  <c r="V66" i="7" s="1"/>
  <c r="U28" i="7"/>
  <c r="U66" i="7" s="1"/>
  <c r="T28" i="7"/>
  <c r="S28" i="7"/>
  <c r="R28" i="7"/>
  <c r="R66" i="7" s="1"/>
  <c r="Q28" i="7"/>
  <c r="Q66" i="7" s="1"/>
  <c r="O28" i="7"/>
  <c r="N28" i="7"/>
  <c r="N66" i="7" s="1"/>
  <c r="M28" i="7"/>
  <c r="M66" i="7" s="1"/>
  <c r="L28" i="7"/>
  <c r="L66" i="7" s="1"/>
  <c r="K28" i="7"/>
  <c r="J28" i="7"/>
  <c r="H28" i="7"/>
  <c r="H66" i="7" s="1"/>
  <c r="G28" i="7"/>
  <c r="G66" i="7" s="1"/>
  <c r="F28" i="7"/>
  <c r="E28" i="7"/>
  <c r="E66" i="7" s="1"/>
  <c r="D28" i="7"/>
  <c r="D66" i="7" s="1"/>
  <c r="C28" i="7"/>
  <c r="C66" i="7" s="1"/>
  <c r="AL27" i="7"/>
  <c r="AK27" i="7"/>
  <c r="AL26" i="7"/>
  <c r="AK26" i="7"/>
  <c r="AL25" i="7"/>
  <c r="AK25" i="7"/>
  <c r="AL24" i="7"/>
  <c r="AK24" i="7"/>
  <c r="AL23" i="7"/>
  <c r="AK23" i="7"/>
  <c r="AL22" i="7"/>
  <c r="AK22" i="7"/>
  <c r="AL21" i="7"/>
  <c r="AK21" i="7"/>
  <c r="AL20" i="7"/>
  <c r="AK20" i="7"/>
  <c r="AL19" i="7"/>
  <c r="AK19" i="7"/>
  <c r="AL18" i="7"/>
  <c r="AK18" i="7"/>
  <c r="AL17" i="7"/>
  <c r="AK17" i="7"/>
  <c r="AL16" i="7"/>
  <c r="AL28" i="7" s="1"/>
  <c r="AK16" i="7"/>
  <c r="AL15" i="7"/>
  <c r="AK15" i="7"/>
  <c r="AL14" i="7"/>
  <c r="AK14" i="7"/>
  <c r="AM66" i="5"/>
  <c r="AP74" i="6"/>
  <c r="AP72" i="6"/>
  <c r="AP70" i="6"/>
  <c r="AB66" i="6"/>
  <c r="S66" i="6"/>
  <c r="J66" i="6"/>
  <c r="AD65" i="6"/>
  <c r="AC65" i="6"/>
  <c r="AB65" i="6"/>
  <c r="AA65" i="6"/>
  <c r="Z65" i="6"/>
  <c r="Y65" i="6"/>
  <c r="X65" i="6"/>
  <c r="W65" i="6"/>
  <c r="V65" i="6"/>
  <c r="U65" i="6"/>
  <c r="T65" i="6"/>
  <c r="S65" i="6"/>
  <c r="R65" i="6"/>
  <c r="Q65" i="6"/>
  <c r="P65" i="6"/>
  <c r="O65" i="6"/>
  <c r="N65" i="6"/>
  <c r="M65" i="6"/>
  <c r="L65" i="6"/>
  <c r="K65" i="6"/>
  <c r="J65" i="6"/>
  <c r="I65" i="6"/>
  <c r="H65" i="6"/>
  <c r="G65" i="6"/>
  <c r="F65" i="6"/>
  <c r="E65" i="6"/>
  <c r="D65" i="6"/>
  <c r="C65" i="6"/>
  <c r="AM65" i="6" s="1"/>
  <c r="AL64" i="6"/>
  <c r="AK64" i="6"/>
  <c r="AL63" i="6"/>
  <c r="AK63" i="6"/>
  <c r="AL62" i="6"/>
  <c r="AK62" i="6"/>
  <c r="AL61" i="6"/>
  <c r="AK61" i="6"/>
  <c r="AL60" i="6"/>
  <c r="AK60" i="6"/>
  <c r="AL59" i="6"/>
  <c r="AK59" i="6"/>
  <c r="AL58" i="6"/>
  <c r="AK58" i="6"/>
  <c r="AL57" i="6"/>
  <c r="AK57" i="6"/>
  <c r="AL56" i="6"/>
  <c r="AK56" i="6"/>
  <c r="AL55" i="6"/>
  <c r="AK55" i="6"/>
  <c r="AL54" i="6"/>
  <c r="AK54" i="6"/>
  <c r="AL53" i="6"/>
  <c r="AK53" i="6"/>
  <c r="AL52" i="6"/>
  <c r="AK52" i="6"/>
  <c r="AL51" i="6"/>
  <c r="AK51" i="6"/>
  <c r="AL50" i="6"/>
  <c r="AK50" i="6"/>
  <c r="AL49" i="6"/>
  <c r="AK49" i="6"/>
  <c r="AL48" i="6"/>
  <c r="AK48" i="6"/>
  <c r="AL47" i="6"/>
  <c r="AK47" i="6"/>
  <c r="AL46" i="6"/>
  <c r="AK46" i="6"/>
  <c r="AL45" i="6"/>
  <c r="AK45" i="6"/>
  <c r="AL44" i="6"/>
  <c r="AK44" i="6"/>
  <c r="AL43" i="6"/>
  <c r="AK43" i="6"/>
  <c r="AL42" i="6"/>
  <c r="AK42" i="6"/>
  <c r="AL41" i="6"/>
  <c r="AK41" i="6"/>
  <c r="AL40" i="6"/>
  <c r="AK40" i="6"/>
  <c r="AL39" i="6"/>
  <c r="AK39" i="6"/>
  <c r="AL38" i="6"/>
  <c r="AK38" i="6"/>
  <c r="AL37" i="6"/>
  <c r="AK37" i="6"/>
  <c r="AL36" i="6"/>
  <c r="AK36" i="6"/>
  <c r="AL35" i="6"/>
  <c r="AK35" i="6"/>
  <c r="AL34" i="6"/>
  <c r="AK34" i="6"/>
  <c r="AL33" i="6"/>
  <c r="AK33" i="6"/>
  <c r="AL32" i="6"/>
  <c r="AK32" i="6"/>
  <c r="AL31" i="6"/>
  <c r="AL65" i="6" s="1"/>
  <c r="AK31" i="6"/>
  <c r="AL30" i="6"/>
  <c r="AK30" i="6"/>
  <c r="AL29" i="6"/>
  <c r="AK29" i="6"/>
  <c r="AK65" i="6" s="1"/>
  <c r="AC28" i="6"/>
  <c r="AC66" i="6" s="1"/>
  <c r="AB28" i="6"/>
  <c r="AA28" i="6"/>
  <c r="AA66" i="6" s="1"/>
  <c r="Z28" i="6"/>
  <c r="Z66" i="6" s="1"/>
  <c r="Y28" i="6"/>
  <c r="Y66" i="6" s="1"/>
  <c r="X28" i="6"/>
  <c r="X66" i="6" s="1"/>
  <c r="V28" i="6"/>
  <c r="V66" i="6" s="1"/>
  <c r="U28" i="6"/>
  <c r="U66" i="6" s="1"/>
  <c r="T28" i="6"/>
  <c r="T66" i="6" s="1"/>
  <c r="S28" i="6"/>
  <c r="R28" i="6"/>
  <c r="R66" i="6" s="1"/>
  <c r="Q28" i="6"/>
  <c r="Q66" i="6" s="1"/>
  <c r="O28" i="6"/>
  <c r="O66" i="6" s="1"/>
  <c r="N28" i="6"/>
  <c r="N66" i="6" s="1"/>
  <c r="M28" i="6"/>
  <c r="M66" i="6" s="1"/>
  <c r="L28" i="6"/>
  <c r="L66" i="6" s="1"/>
  <c r="K28" i="6"/>
  <c r="K66" i="6" s="1"/>
  <c r="J28" i="6"/>
  <c r="H28" i="6"/>
  <c r="H66" i="6" s="1"/>
  <c r="G28" i="6"/>
  <c r="G66" i="6" s="1"/>
  <c r="F28" i="6"/>
  <c r="F66" i="6" s="1"/>
  <c r="E28" i="6"/>
  <c r="E66" i="6" s="1"/>
  <c r="D28" i="6"/>
  <c r="D66" i="6" s="1"/>
  <c r="C28" i="6"/>
  <c r="C66" i="6" s="1"/>
  <c r="AL27" i="6"/>
  <c r="AK27" i="6"/>
  <c r="AL26" i="6"/>
  <c r="AK26" i="6"/>
  <c r="AL25" i="6"/>
  <c r="AK25" i="6"/>
  <c r="AL24" i="6"/>
  <c r="AK24" i="6"/>
  <c r="AL23" i="6"/>
  <c r="AK23" i="6"/>
  <c r="AL22" i="6"/>
  <c r="AK22" i="6"/>
  <c r="AL21" i="6"/>
  <c r="AK21" i="6"/>
  <c r="AL20" i="6"/>
  <c r="AK20" i="6"/>
  <c r="AL19" i="6"/>
  <c r="AK19" i="6"/>
  <c r="AL18" i="6"/>
  <c r="AK18" i="6"/>
  <c r="AL17" i="6"/>
  <c r="AK17" i="6"/>
  <c r="AL16" i="6"/>
  <c r="AK16" i="6"/>
  <c r="AK28" i="6" s="1"/>
  <c r="AK66" i="6" s="1"/>
  <c r="AL15" i="6"/>
  <c r="AK15" i="6"/>
  <c r="AL14" i="6"/>
  <c r="AL28" i="6" s="1"/>
  <c r="AL66" i="6" s="1"/>
  <c r="AK14" i="6"/>
  <c r="AK14" i="5"/>
  <c r="AL14" i="5"/>
  <c r="AK15" i="5"/>
  <c r="AL15" i="5"/>
  <c r="AK16" i="5"/>
  <c r="AL16" i="5"/>
  <c r="AK17" i="5"/>
  <c r="AL17" i="5"/>
  <c r="AK18" i="5"/>
  <c r="AL18" i="5"/>
  <c r="AK19" i="5"/>
  <c r="AL19" i="5"/>
  <c r="AK20" i="5"/>
  <c r="AL20" i="5"/>
  <c r="AK21" i="5"/>
  <c r="AL21" i="5"/>
  <c r="AK22" i="5"/>
  <c r="AL22" i="5"/>
  <c r="AK23" i="5"/>
  <c r="AL23" i="5"/>
  <c r="AK24" i="5"/>
  <c r="AL24" i="5"/>
  <c r="AK25" i="5"/>
  <c r="AL25" i="5"/>
  <c r="AK26" i="5"/>
  <c r="AL26" i="5"/>
  <c r="AK27" i="5"/>
  <c r="AL27" i="5"/>
  <c r="C28" i="5"/>
  <c r="D28" i="5"/>
  <c r="E28" i="5"/>
  <c r="F28" i="5"/>
  <c r="F66" i="5" s="1"/>
  <c r="G28" i="5"/>
  <c r="H28" i="5"/>
  <c r="J28" i="5"/>
  <c r="K28" i="5"/>
  <c r="L28" i="5"/>
  <c r="M28" i="5"/>
  <c r="N28" i="5"/>
  <c r="O28" i="5"/>
  <c r="O66" i="5" s="1"/>
  <c r="Q28" i="5"/>
  <c r="R28" i="5"/>
  <c r="S28" i="5"/>
  <c r="T28" i="5"/>
  <c r="U28" i="5"/>
  <c r="V28" i="5"/>
  <c r="X28" i="5"/>
  <c r="Y28" i="5"/>
  <c r="Y66" i="5" s="1"/>
  <c r="AK29" i="5"/>
  <c r="AL29" i="5"/>
  <c r="AK30" i="5"/>
  <c r="AL30" i="5"/>
  <c r="AK31" i="5"/>
  <c r="AL31" i="5"/>
  <c r="AK32" i="5"/>
  <c r="AL32" i="5"/>
  <c r="AK33" i="5"/>
  <c r="AL33" i="5"/>
  <c r="AK34" i="5"/>
  <c r="AL34" i="5"/>
  <c r="AK35" i="5"/>
  <c r="AL35" i="5"/>
  <c r="AK36" i="5"/>
  <c r="AL36" i="5"/>
  <c r="AK37" i="5"/>
  <c r="AL37" i="5"/>
  <c r="AK38" i="5"/>
  <c r="AL38" i="5"/>
  <c r="AK39" i="5"/>
  <c r="AL39" i="5"/>
  <c r="AK40" i="5"/>
  <c r="AL40" i="5"/>
  <c r="AK41" i="5"/>
  <c r="AL41" i="5"/>
  <c r="AK42" i="5"/>
  <c r="AL42" i="5"/>
  <c r="AK43" i="5"/>
  <c r="AL43" i="5"/>
  <c r="AK44" i="5"/>
  <c r="AL44" i="5"/>
  <c r="AK45" i="5"/>
  <c r="AL45" i="5"/>
  <c r="AK46" i="5"/>
  <c r="AL46" i="5"/>
  <c r="AK47" i="5"/>
  <c r="AL47" i="5"/>
  <c r="AK48" i="5"/>
  <c r="AL48" i="5"/>
  <c r="AK49" i="5"/>
  <c r="AL49" i="5"/>
  <c r="AK50" i="5"/>
  <c r="AL50" i="5"/>
  <c r="AK51" i="5"/>
  <c r="AL51" i="5"/>
  <c r="AK52" i="5"/>
  <c r="AL52" i="5"/>
  <c r="AK53" i="5"/>
  <c r="AL53" i="5"/>
  <c r="AK54" i="5"/>
  <c r="AL54" i="5"/>
  <c r="AK55" i="5"/>
  <c r="AL55" i="5"/>
  <c r="AK56" i="5"/>
  <c r="AL56" i="5"/>
  <c r="AK57" i="5"/>
  <c r="AL57" i="5"/>
  <c r="AK58" i="5"/>
  <c r="AL58" i="5"/>
  <c r="AK59" i="5"/>
  <c r="AL59" i="5"/>
  <c r="AK60" i="5"/>
  <c r="AL60" i="5"/>
  <c r="AK61" i="5"/>
  <c r="AL61" i="5"/>
  <c r="AK62" i="5"/>
  <c r="AL62" i="5"/>
  <c r="AK63" i="5"/>
  <c r="AL63" i="5"/>
  <c r="AK64" i="5"/>
  <c r="AL64" i="5"/>
  <c r="C65" i="5"/>
  <c r="D65" i="5"/>
  <c r="E65" i="5"/>
  <c r="F65" i="5"/>
  <c r="G65" i="5"/>
  <c r="H65" i="5"/>
  <c r="I65" i="5"/>
  <c r="J65" i="5"/>
  <c r="K65" i="5"/>
  <c r="K66" i="5" s="1"/>
  <c r="L65" i="5"/>
  <c r="M65" i="5"/>
  <c r="N65" i="5"/>
  <c r="O65" i="5"/>
  <c r="P65" i="5"/>
  <c r="Q65" i="5"/>
  <c r="R65" i="5"/>
  <c r="S65" i="5"/>
  <c r="S66" i="5" s="1"/>
  <c r="T65" i="5"/>
  <c r="U65" i="5"/>
  <c r="V65" i="5"/>
  <c r="W65" i="5"/>
  <c r="X65" i="5"/>
  <c r="Y65" i="5"/>
  <c r="AD65" i="5"/>
  <c r="D66" i="5"/>
  <c r="E66" i="5"/>
  <c r="G66" i="5"/>
  <c r="H66" i="5"/>
  <c r="J66" i="5"/>
  <c r="L66" i="5"/>
  <c r="M66" i="5"/>
  <c r="N66" i="5"/>
  <c r="Q66" i="5"/>
  <c r="R66" i="5"/>
  <c r="T66" i="5"/>
  <c r="U66" i="5"/>
  <c r="V66" i="5"/>
  <c r="X66" i="5"/>
  <c r="AP70" i="5"/>
  <c r="AP72" i="5"/>
  <c r="AP74" i="5"/>
  <c r="AG65" i="4"/>
  <c r="AG66" i="4" s="1"/>
  <c r="AL66" i="4" s="1"/>
  <c r="AH65" i="4"/>
  <c r="AH66" i="4" s="1"/>
  <c r="AI65" i="4"/>
  <c r="AI66" i="4"/>
  <c r="AL65" i="4"/>
  <c r="AL28" i="4"/>
  <c r="AG28" i="4"/>
  <c r="AH28" i="4"/>
  <c r="AI28" i="4"/>
  <c r="AJ28" i="4"/>
  <c r="AK14" i="4"/>
  <c r="AK28" i="4" s="1"/>
  <c r="AJ14" i="4"/>
  <c r="AO74" i="4"/>
  <c r="AO72" i="4"/>
  <c r="AO70"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AK64" i="4"/>
  <c r="AJ64" i="4"/>
  <c r="AK63" i="4"/>
  <c r="AJ63" i="4"/>
  <c r="AK62" i="4"/>
  <c r="AJ62" i="4"/>
  <c r="AK61" i="4"/>
  <c r="AJ61" i="4"/>
  <c r="AK60" i="4"/>
  <c r="AJ60" i="4"/>
  <c r="AK59" i="4"/>
  <c r="AJ59" i="4"/>
  <c r="AK58" i="4"/>
  <c r="AJ58" i="4"/>
  <c r="AK57" i="4"/>
  <c r="AJ57" i="4"/>
  <c r="AK56" i="4"/>
  <c r="AJ56" i="4"/>
  <c r="AK55" i="4"/>
  <c r="AJ55" i="4"/>
  <c r="AK54" i="4"/>
  <c r="AJ54" i="4"/>
  <c r="AK53" i="4"/>
  <c r="AJ53" i="4"/>
  <c r="AK52" i="4"/>
  <c r="AJ52" i="4"/>
  <c r="AK51" i="4"/>
  <c r="AJ51" i="4"/>
  <c r="AK50" i="4"/>
  <c r="AJ50" i="4"/>
  <c r="AK49" i="4"/>
  <c r="AJ49" i="4"/>
  <c r="AK48" i="4"/>
  <c r="AJ48" i="4"/>
  <c r="AK47" i="4"/>
  <c r="AJ47" i="4"/>
  <c r="AK46" i="4"/>
  <c r="AJ46" i="4"/>
  <c r="AK45" i="4"/>
  <c r="AJ45" i="4"/>
  <c r="AK44" i="4"/>
  <c r="AJ44" i="4"/>
  <c r="AK43" i="4"/>
  <c r="AJ43" i="4"/>
  <c r="AK42" i="4"/>
  <c r="AJ42" i="4"/>
  <c r="AK41" i="4"/>
  <c r="AJ41" i="4"/>
  <c r="AK40" i="4"/>
  <c r="AJ40" i="4"/>
  <c r="AK39" i="4"/>
  <c r="AJ39" i="4"/>
  <c r="AK38" i="4"/>
  <c r="AJ38" i="4"/>
  <c r="AK37" i="4"/>
  <c r="AJ37" i="4"/>
  <c r="AK36" i="4"/>
  <c r="AJ36" i="4"/>
  <c r="AK35" i="4"/>
  <c r="AJ35" i="4"/>
  <c r="AK34" i="4"/>
  <c r="AJ34" i="4"/>
  <c r="AK33" i="4"/>
  <c r="AJ33" i="4"/>
  <c r="AK32" i="4"/>
  <c r="AJ32" i="4"/>
  <c r="AK31" i="4"/>
  <c r="AJ31" i="4"/>
  <c r="AK30" i="4"/>
  <c r="AJ30" i="4"/>
  <c r="AK29" i="4"/>
  <c r="AJ29" i="4"/>
  <c r="AF28" i="4"/>
  <c r="AF66" i="4" s="1"/>
  <c r="AE28" i="4"/>
  <c r="AE66" i="4" s="1"/>
  <c r="AD28" i="4"/>
  <c r="AB28" i="4"/>
  <c r="AB66" i="4" s="1"/>
  <c r="AA28" i="4"/>
  <c r="AA66" i="4" s="1"/>
  <c r="Z28" i="4"/>
  <c r="Z66" i="4" s="1"/>
  <c r="Y28" i="4"/>
  <c r="X28" i="4"/>
  <c r="X66" i="4" s="1"/>
  <c r="W28" i="4"/>
  <c r="W66" i="4" s="1"/>
  <c r="U28" i="4"/>
  <c r="T28" i="4"/>
  <c r="T66" i="4" s="1"/>
  <c r="S28" i="4"/>
  <c r="S66" i="4" s="1"/>
  <c r="R28" i="4"/>
  <c r="R66" i="4" s="1"/>
  <c r="Q28" i="4"/>
  <c r="P28" i="4"/>
  <c r="P66" i="4" s="1"/>
  <c r="N28" i="4"/>
  <c r="M28" i="4"/>
  <c r="L28" i="4"/>
  <c r="L66" i="4" s="1"/>
  <c r="K28" i="4"/>
  <c r="K66" i="4" s="1"/>
  <c r="J28" i="4"/>
  <c r="J66" i="4" s="1"/>
  <c r="I28" i="4"/>
  <c r="G28" i="4"/>
  <c r="F28" i="4"/>
  <c r="E28" i="4"/>
  <c r="AK27" i="4"/>
  <c r="AJ27" i="4"/>
  <c r="AK26" i="4"/>
  <c r="AJ26" i="4"/>
  <c r="AK25" i="4"/>
  <c r="AJ25" i="4"/>
  <c r="AK24" i="4"/>
  <c r="AJ24" i="4"/>
  <c r="AK23" i="4"/>
  <c r="AJ23" i="4"/>
  <c r="AK22" i="4"/>
  <c r="AJ22" i="4"/>
  <c r="AK21" i="4"/>
  <c r="AJ21" i="4"/>
  <c r="AK20" i="4"/>
  <c r="AJ20" i="4"/>
  <c r="AK19" i="4"/>
  <c r="AJ19" i="4"/>
  <c r="AK18" i="4"/>
  <c r="AJ18" i="4"/>
  <c r="AK17" i="4"/>
  <c r="AJ17" i="4"/>
  <c r="AK16" i="4"/>
  <c r="AJ16" i="4"/>
  <c r="AK15" i="4"/>
  <c r="AJ15" i="4"/>
  <c r="N65" i="3"/>
  <c r="AL65" i="3" s="1"/>
  <c r="N28" i="3"/>
  <c r="N66" i="3" s="1"/>
  <c r="AE65" i="3"/>
  <c r="AE28" i="3"/>
  <c r="AE66" i="3" s="1"/>
  <c r="AO74" i="3"/>
  <c r="AO72" i="3"/>
  <c r="AO70" i="3"/>
  <c r="AG65" i="3"/>
  <c r="AF65" i="3"/>
  <c r="AD65" i="3"/>
  <c r="AC65" i="3"/>
  <c r="AB65" i="3"/>
  <c r="AA65" i="3"/>
  <c r="Z65" i="3"/>
  <c r="Y65" i="3"/>
  <c r="X65" i="3"/>
  <c r="W65" i="3"/>
  <c r="V65" i="3"/>
  <c r="U65" i="3"/>
  <c r="T65" i="3"/>
  <c r="S65" i="3"/>
  <c r="R65" i="3"/>
  <c r="Q65" i="3"/>
  <c r="P65" i="3"/>
  <c r="O65" i="3"/>
  <c r="M65" i="3"/>
  <c r="L65" i="3"/>
  <c r="K65" i="3"/>
  <c r="J65" i="3"/>
  <c r="I65" i="3"/>
  <c r="H65" i="3"/>
  <c r="G65" i="3"/>
  <c r="F65" i="3"/>
  <c r="E65" i="3"/>
  <c r="D65" i="3"/>
  <c r="AK64" i="3"/>
  <c r="AJ64" i="3"/>
  <c r="AK63" i="3"/>
  <c r="AJ63" i="3"/>
  <c r="AK62" i="3"/>
  <c r="AJ62" i="3"/>
  <c r="AK61" i="3"/>
  <c r="AJ61" i="3"/>
  <c r="AK60" i="3"/>
  <c r="AJ60" i="3"/>
  <c r="AK59" i="3"/>
  <c r="AJ59" i="3"/>
  <c r="AK58" i="3"/>
  <c r="AJ58" i="3"/>
  <c r="AK57" i="3"/>
  <c r="AJ57" i="3"/>
  <c r="AK56" i="3"/>
  <c r="AJ56" i="3"/>
  <c r="AK55" i="3"/>
  <c r="AJ55" i="3"/>
  <c r="AK54" i="3"/>
  <c r="AJ54" i="3"/>
  <c r="AK53" i="3"/>
  <c r="AJ53" i="3"/>
  <c r="AK52" i="3"/>
  <c r="AJ52" i="3"/>
  <c r="AK51" i="3"/>
  <c r="AJ51" i="3"/>
  <c r="AK50" i="3"/>
  <c r="AJ50" i="3"/>
  <c r="AK49" i="3"/>
  <c r="AJ49" i="3"/>
  <c r="AK48" i="3"/>
  <c r="AJ48" i="3"/>
  <c r="AK47" i="3"/>
  <c r="AJ47" i="3"/>
  <c r="AK46" i="3"/>
  <c r="AJ46" i="3"/>
  <c r="AK45" i="3"/>
  <c r="AJ45" i="3"/>
  <c r="AK44" i="3"/>
  <c r="AJ44" i="3"/>
  <c r="AK43" i="3"/>
  <c r="AJ43" i="3"/>
  <c r="AK42" i="3"/>
  <c r="AJ42" i="3"/>
  <c r="AK41" i="3"/>
  <c r="AJ41" i="3"/>
  <c r="AK40" i="3"/>
  <c r="AJ40" i="3"/>
  <c r="AK39" i="3"/>
  <c r="AJ39" i="3"/>
  <c r="AK38" i="3"/>
  <c r="AJ38" i="3"/>
  <c r="AK37" i="3"/>
  <c r="AJ37" i="3"/>
  <c r="AK36" i="3"/>
  <c r="AJ36" i="3"/>
  <c r="AK35" i="3"/>
  <c r="AJ35" i="3"/>
  <c r="AK34" i="3"/>
  <c r="AJ34" i="3"/>
  <c r="AK33" i="3"/>
  <c r="AJ33" i="3"/>
  <c r="AK32" i="3"/>
  <c r="AJ32" i="3"/>
  <c r="AK31" i="3"/>
  <c r="AJ31" i="3"/>
  <c r="AK30" i="3"/>
  <c r="AJ30" i="3"/>
  <c r="AK29" i="3"/>
  <c r="AJ29" i="3"/>
  <c r="AG28" i="3"/>
  <c r="AF28" i="3"/>
  <c r="AF66" i="3" s="1"/>
  <c r="AC28" i="3"/>
  <c r="AB28" i="3"/>
  <c r="AB66" i="3" s="1"/>
  <c r="AA28" i="3"/>
  <c r="AA66" i="3" s="1"/>
  <c r="Z28" i="3"/>
  <c r="Y28" i="3"/>
  <c r="Y66" i="3" s="1"/>
  <c r="X28" i="3"/>
  <c r="V28" i="3"/>
  <c r="U28" i="3"/>
  <c r="T28" i="3"/>
  <c r="T66" i="3" s="1"/>
  <c r="S28" i="3"/>
  <c r="S66" i="3" s="1"/>
  <c r="R28" i="3"/>
  <c r="Q28" i="3"/>
  <c r="Q66" i="3" s="1"/>
  <c r="O28" i="3"/>
  <c r="O66" i="3" s="1"/>
  <c r="M28" i="3"/>
  <c r="L28" i="3"/>
  <c r="K28" i="3"/>
  <c r="K66" i="3" s="1"/>
  <c r="J28" i="3"/>
  <c r="J66" i="3" s="1"/>
  <c r="H28" i="3"/>
  <c r="H66" i="3" s="1"/>
  <c r="G28" i="3"/>
  <c r="G66" i="3" s="1"/>
  <c r="F28" i="3"/>
  <c r="F66" i="3" s="1"/>
  <c r="E28" i="3"/>
  <c r="D28" i="3"/>
  <c r="AL28" i="3" s="1"/>
  <c r="AK27" i="3"/>
  <c r="AJ27" i="3"/>
  <c r="AK26" i="3"/>
  <c r="AJ26" i="3"/>
  <c r="AK25" i="3"/>
  <c r="AJ25" i="3"/>
  <c r="AK24" i="3"/>
  <c r="AJ24" i="3"/>
  <c r="AK23" i="3"/>
  <c r="AJ23" i="3"/>
  <c r="AK22" i="3"/>
  <c r="AJ22" i="3"/>
  <c r="AK21" i="3"/>
  <c r="AJ21" i="3"/>
  <c r="AK20" i="3"/>
  <c r="AJ20" i="3"/>
  <c r="AK19" i="3"/>
  <c r="AJ19" i="3"/>
  <c r="AK18" i="3"/>
  <c r="AJ18" i="3"/>
  <c r="AK17" i="3"/>
  <c r="AJ17" i="3"/>
  <c r="AK16" i="3"/>
  <c r="AJ16" i="3"/>
  <c r="AK15" i="3"/>
  <c r="AJ15" i="3"/>
  <c r="AK14" i="3"/>
  <c r="AJ14" i="3"/>
  <c r="F66" i="1"/>
  <c r="E66" i="1"/>
  <c r="C66" i="1"/>
  <c r="F65" i="1"/>
  <c r="E65" i="1"/>
  <c r="C65" i="1"/>
  <c r="D65" i="1"/>
  <c r="F28" i="1"/>
  <c r="E28" i="1"/>
  <c r="C28" i="1"/>
  <c r="AL64" i="1"/>
  <c r="AK64" i="1"/>
  <c r="AL63" i="1"/>
  <c r="AK63" i="1"/>
  <c r="AL62" i="1"/>
  <c r="AK62" i="1"/>
  <c r="AL61" i="1"/>
  <c r="AK61" i="1"/>
  <c r="AL60" i="1"/>
  <c r="AK60" i="1"/>
  <c r="AL59" i="1"/>
  <c r="AK59" i="1"/>
  <c r="AL58" i="1"/>
  <c r="AK58" i="1"/>
  <c r="AL57" i="1"/>
  <c r="AK57" i="1"/>
  <c r="AL56" i="1"/>
  <c r="AK56" i="1"/>
  <c r="AL55" i="1"/>
  <c r="AK55" i="1"/>
  <c r="AL54" i="1"/>
  <c r="AK54" i="1"/>
  <c r="AL53" i="1"/>
  <c r="AK53" i="1"/>
  <c r="AL52" i="1"/>
  <c r="AK52" i="1"/>
  <c r="AL51" i="1"/>
  <c r="AK51" i="1"/>
  <c r="AL50" i="1"/>
  <c r="AK50" i="1"/>
  <c r="AL49" i="1"/>
  <c r="AK49" i="1"/>
  <c r="AL48" i="1"/>
  <c r="AK48" i="1"/>
  <c r="AL47" i="1"/>
  <c r="AK47" i="1"/>
  <c r="AL46" i="1"/>
  <c r="AK46" i="1"/>
  <c r="AL45" i="1"/>
  <c r="AK45" i="1"/>
  <c r="AL44" i="1"/>
  <c r="AK44" i="1"/>
  <c r="AL43" i="1"/>
  <c r="AK43" i="1"/>
  <c r="AL42" i="1"/>
  <c r="AK42" i="1"/>
  <c r="AL41" i="1"/>
  <c r="AK41" i="1"/>
  <c r="AL40" i="1"/>
  <c r="AK40" i="1"/>
  <c r="AL39" i="1"/>
  <c r="AK39" i="1"/>
  <c r="AL38" i="1"/>
  <c r="AK38" i="1"/>
  <c r="AL37" i="1"/>
  <c r="AK37" i="1"/>
  <c r="AL36" i="1"/>
  <c r="AK36" i="1"/>
  <c r="AL35" i="1"/>
  <c r="AK35" i="1"/>
  <c r="AL34" i="1"/>
  <c r="AK34" i="1"/>
  <c r="AL33" i="1"/>
  <c r="AK33" i="1"/>
  <c r="AL32" i="1"/>
  <c r="AK32" i="1"/>
  <c r="AL31" i="1"/>
  <c r="AK31" i="1"/>
  <c r="AL30" i="1"/>
  <c r="AK30" i="1"/>
  <c r="AL29" i="1"/>
  <c r="AK29" i="1"/>
  <c r="AK15" i="1"/>
  <c r="AL15" i="1"/>
  <c r="AK16" i="1"/>
  <c r="AL16" i="1"/>
  <c r="AK17" i="1"/>
  <c r="AL17" i="1"/>
  <c r="AK18" i="1"/>
  <c r="AL18" i="1"/>
  <c r="AK19" i="1"/>
  <c r="AL19" i="1"/>
  <c r="AK20" i="1"/>
  <c r="AL20" i="1"/>
  <c r="AK21" i="1"/>
  <c r="AL21" i="1"/>
  <c r="AK22" i="1"/>
  <c r="AL22" i="1"/>
  <c r="AK23" i="1"/>
  <c r="AL23" i="1"/>
  <c r="AK24" i="1"/>
  <c r="AL24" i="1"/>
  <c r="AK25" i="1"/>
  <c r="AL25" i="1"/>
  <c r="AK26" i="1"/>
  <c r="AL26" i="1"/>
  <c r="AK27" i="1"/>
  <c r="AL27" i="1"/>
  <c r="AL14" i="1"/>
  <c r="AK14" i="1"/>
  <c r="AP74" i="1"/>
  <c r="AP72" i="1"/>
  <c r="AP70" i="1"/>
  <c r="AF65" i="1"/>
  <c r="AE65" i="1"/>
  <c r="AD65" i="1"/>
  <c r="AC65" i="1"/>
  <c r="AB65" i="1"/>
  <c r="AA65" i="1"/>
  <c r="Z65" i="1"/>
  <c r="Y65" i="1"/>
  <c r="X65" i="1"/>
  <c r="W65" i="1"/>
  <c r="V65" i="1"/>
  <c r="U65" i="1"/>
  <c r="T65" i="1"/>
  <c r="S65" i="1"/>
  <c r="R65" i="1"/>
  <c r="Q65" i="1"/>
  <c r="O65" i="1"/>
  <c r="N65" i="1"/>
  <c r="M65" i="1"/>
  <c r="L65" i="1"/>
  <c r="K65" i="1"/>
  <c r="J65" i="1"/>
  <c r="I65" i="1"/>
  <c r="H65" i="1"/>
  <c r="G65" i="1"/>
  <c r="AE28" i="1"/>
  <c r="AE66" i="1" s="1"/>
  <c r="AD28" i="1"/>
  <c r="AD66" i="1" s="1"/>
  <c r="AC28" i="1"/>
  <c r="AB28" i="1"/>
  <c r="AA28" i="1"/>
  <c r="Z28" i="1"/>
  <c r="X28" i="1"/>
  <c r="W28" i="1"/>
  <c r="W66" i="1" s="1"/>
  <c r="V28" i="1"/>
  <c r="U28" i="1"/>
  <c r="T28" i="1"/>
  <c r="S28" i="1"/>
  <c r="Q28" i="1"/>
  <c r="O28" i="1"/>
  <c r="O66" i="1" s="1"/>
  <c r="N28" i="1"/>
  <c r="M28" i="1"/>
  <c r="L28" i="1"/>
  <c r="L66" i="1" s="1"/>
  <c r="J28" i="1"/>
  <c r="I28" i="1"/>
  <c r="H28" i="1"/>
  <c r="G28" i="1"/>
  <c r="G66" i="1" s="1"/>
  <c r="AL66" i="12"/>
  <c r="AL65" i="12"/>
  <c r="AL28" i="12"/>
  <c r="AJ30" i="12"/>
  <c r="AK30" i="12"/>
  <c r="AJ31" i="12"/>
  <c r="AK31" i="12"/>
  <c r="AJ32" i="12"/>
  <c r="AK32" i="12"/>
  <c r="AJ33" i="12"/>
  <c r="AK33" i="12"/>
  <c r="AJ34" i="12"/>
  <c r="AK34" i="12"/>
  <c r="AJ35" i="12"/>
  <c r="AK35" i="12"/>
  <c r="AJ36" i="12"/>
  <c r="AK36" i="12"/>
  <c r="AJ37" i="12"/>
  <c r="AK37" i="12"/>
  <c r="AJ38" i="12"/>
  <c r="AK38" i="12"/>
  <c r="AJ39" i="12"/>
  <c r="AK39" i="12"/>
  <c r="AJ40" i="12"/>
  <c r="AK40" i="12"/>
  <c r="AJ41" i="12"/>
  <c r="AK41" i="12"/>
  <c r="AJ42" i="12"/>
  <c r="AK42" i="12"/>
  <c r="AJ43" i="12"/>
  <c r="AK43" i="12"/>
  <c r="AJ44" i="12"/>
  <c r="AK44" i="12"/>
  <c r="AJ45" i="12"/>
  <c r="AK45" i="12"/>
  <c r="AJ46" i="12"/>
  <c r="AK46" i="12"/>
  <c r="AJ47" i="12"/>
  <c r="AK47" i="12"/>
  <c r="AJ48" i="12"/>
  <c r="AK48" i="12"/>
  <c r="AJ49" i="12"/>
  <c r="AK49" i="12"/>
  <c r="AJ50" i="12"/>
  <c r="AK50" i="12"/>
  <c r="AJ51" i="12"/>
  <c r="AK51" i="12"/>
  <c r="AJ52" i="12"/>
  <c r="AK52" i="12"/>
  <c r="AJ53" i="12"/>
  <c r="AK53" i="12"/>
  <c r="AJ54" i="12"/>
  <c r="AK54" i="12"/>
  <c r="AJ55" i="12"/>
  <c r="AK55" i="12"/>
  <c r="AJ56" i="12"/>
  <c r="AK56" i="12"/>
  <c r="AJ57" i="12"/>
  <c r="AK57" i="12"/>
  <c r="AJ58" i="12"/>
  <c r="AK58" i="12"/>
  <c r="AJ59" i="12"/>
  <c r="AK59" i="12"/>
  <c r="AJ60" i="12"/>
  <c r="AK60" i="12"/>
  <c r="AJ61" i="12"/>
  <c r="AK61" i="12"/>
  <c r="AJ62" i="12"/>
  <c r="AK62" i="12"/>
  <c r="AJ63" i="12"/>
  <c r="AK63" i="12"/>
  <c r="AJ64" i="12"/>
  <c r="AK64" i="12"/>
  <c r="AK29" i="12"/>
  <c r="AJ29" i="12"/>
  <c r="AJ15" i="12"/>
  <c r="AK15" i="12"/>
  <c r="AJ16" i="12"/>
  <c r="AK16" i="12"/>
  <c r="AJ17" i="12"/>
  <c r="AK17" i="12"/>
  <c r="AJ18" i="12"/>
  <c r="AK18" i="12"/>
  <c r="AJ19" i="12"/>
  <c r="AK19" i="12"/>
  <c r="AJ20" i="12"/>
  <c r="AK20" i="12"/>
  <c r="AJ21" i="12"/>
  <c r="AK21" i="12"/>
  <c r="AJ22" i="12"/>
  <c r="AK22" i="12"/>
  <c r="AJ23" i="12"/>
  <c r="AK23" i="12"/>
  <c r="AJ24" i="12"/>
  <c r="AK24" i="12"/>
  <c r="AJ25" i="12"/>
  <c r="AK25" i="12"/>
  <c r="AJ26" i="12"/>
  <c r="AK26" i="12"/>
  <c r="AJ27" i="12"/>
  <c r="AK27" i="12"/>
  <c r="AK14" i="12"/>
  <c r="AJ14" i="12"/>
  <c r="AO74" i="13"/>
  <c r="AO72" i="13"/>
  <c r="AO70" i="13"/>
  <c r="N65" i="12"/>
  <c r="N28" i="12"/>
  <c r="N66" i="12" s="1"/>
  <c r="AO74" i="12"/>
  <c r="AO72" i="12"/>
  <c r="AO70" i="12"/>
  <c r="AH66" i="12"/>
  <c r="O66" i="12"/>
  <c r="AI65" i="12"/>
  <c r="AH65" i="12"/>
  <c r="AG65" i="12"/>
  <c r="AF65" i="12"/>
  <c r="AE65" i="12"/>
  <c r="AD65" i="12"/>
  <c r="AC65" i="12"/>
  <c r="AB65" i="12"/>
  <c r="AA65" i="12"/>
  <c r="Z65" i="12"/>
  <c r="Y65" i="12"/>
  <c r="Y66" i="12" s="1"/>
  <c r="X65" i="12"/>
  <c r="W65" i="12"/>
  <c r="V65" i="12"/>
  <c r="U65" i="12"/>
  <c r="T65" i="12"/>
  <c r="S65" i="12"/>
  <c r="R65" i="12"/>
  <c r="Q65" i="12"/>
  <c r="P65" i="12"/>
  <c r="O65" i="12"/>
  <c r="M65" i="12"/>
  <c r="L65" i="12"/>
  <c r="K65" i="12"/>
  <c r="J65" i="12"/>
  <c r="I65" i="12"/>
  <c r="H65" i="12"/>
  <c r="G65" i="12"/>
  <c r="F65" i="12"/>
  <c r="E65" i="12"/>
  <c r="AI28" i="12"/>
  <c r="AI66" i="12" s="1"/>
  <c r="AH28" i="12"/>
  <c r="AG28" i="12"/>
  <c r="AG66" i="12" s="1"/>
  <c r="AF28" i="12"/>
  <c r="AF66" i="12" s="1"/>
  <c r="AE28" i="12"/>
  <c r="AE66" i="12" s="1"/>
  <c r="AC28" i="12"/>
  <c r="AC66" i="12" s="1"/>
  <c r="AB28" i="12"/>
  <c r="AB66" i="12" s="1"/>
  <c r="AA28" i="12"/>
  <c r="AA66" i="12" s="1"/>
  <c r="Z28" i="12"/>
  <c r="Z66" i="12" s="1"/>
  <c r="Y28" i="12"/>
  <c r="X28" i="12"/>
  <c r="X66" i="12" s="1"/>
  <c r="V28" i="12"/>
  <c r="V66" i="12" s="1"/>
  <c r="U28" i="12"/>
  <c r="U66" i="12" s="1"/>
  <c r="T28" i="12"/>
  <c r="T66" i="12" s="1"/>
  <c r="S28" i="12"/>
  <c r="S66" i="12" s="1"/>
  <c r="R28" i="12"/>
  <c r="R66" i="12" s="1"/>
  <c r="Q28" i="12"/>
  <c r="Q66" i="12" s="1"/>
  <c r="O28" i="12"/>
  <c r="M28" i="12"/>
  <c r="M66" i="12" s="1"/>
  <c r="L28" i="12"/>
  <c r="L66" i="12" s="1"/>
  <c r="K28" i="12"/>
  <c r="K66" i="12" s="1"/>
  <c r="J28" i="12"/>
  <c r="J66" i="12" s="1"/>
  <c r="H28" i="12"/>
  <c r="H66" i="12" s="1"/>
  <c r="G28" i="12"/>
  <c r="G66" i="12" s="1"/>
  <c r="F28" i="12"/>
  <c r="F66" i="12" s="1"/>
  <c r="E28" i="12"/>
  <c r="E66" i="12" s="1"/>
  <c r="AM28" i="10" l="1"/>
  <c r="AM65" i="5"/>
  <c r="AM28" i="5"/>
  <c r="AK66" i="10"/>
  <c r="AL28" i="10"/>
  <c r="AL66" i="10" s="1"/>
  <c r="AM66" i="10"/>
  <c r="AM66" i="9"/>
  <c r="AM28" i="9"/>
  <c r="AM66" i="8"/>
  <c r="AM28" i="8"/>
  <c r="AL66" i="7"/>
  <c r="AL65" i="7"/>
  <c r="AM65" i="7"/>
  <c r="AK28" i="7"/>
  <c r="AK66" i="7" s="1"/>
  <c r="AM66" i="7"/>
  <c r="AM28" i="7"/>
  <c r="AL65" i="5"/>
  <c r="AK28" i="5"/>
  <c r="AK65" i="5"/>
  <c r="AL28" i="5"/>
  <c r="AL66" i="5" s="1"/>
  <c r="AM66" i="6"/>
  <c r="AM28" i="6"/>
  <c r="C66" i="5"/>
  <c r="AD66" i="4"/>
  <c r="U66" i="4"/>
  <c r="E66" i="4"/>
  <c r="N66" i="4"/>
  <c r="F66" i="4"/>
  <c r="AJ65" i="4"/>
  <c r="Y66" i="4"/>
  <c r="AK65" i="4"/>
  <c r="AJ66" i="4"/>
  <c r="G66" i="4"/>
  <c r="Q66" i="4"/>
  <c r="M66" i="4"/>
  <c r="I66" i="4"/>
  <c r="AK66" i="4"/>
  <c r="AK65" i="3"/>
  <c r="AK28" i="3"/>
  <c r="AC66" i="3"/>
  <c r="U66" i="3"/>
  <c r="L66" i="3"/>
  <c r="D66" i="3"/>
  <c r="AL66" i="3" s="1"/>
  <c r="AG66" i="3"/>
  <c r="M66" i="3"/>
  <c r="X66" i="3"/>
  <c r="E66" i="3"/>
  <c r="AJ65" i="3"/>
  <c r="Z66" i="3"/>
  <c r="AJ28" i="3"/>
  <c r="R66" i="3"/>
  <c r="V66" i="3"/>
  <c r="AK66" i="3"/>
  <c r="AM65" i="1"/>
  <c r="AM28" i="1"/>
  <c r="V66" i="1"/>
  <c r="N66" i="1"/>
  <c r="AK28" i="1"/>
  <c r="U66" i="1"/>
  <c r="M66" i="1"/>
  <c r="AL28" i="1"/>
  <c r="X66" i="1"/>
  <c r="H66" i="1"/>
  <c r="AM66" i="1"/>
  <c r="Z66" i="1"/>
  <c r="Q66" i="1"/>
  <c r="I66" i="1"/>
  <c r="S66" i="1"/>
  <c r="AB66" i="1"/>
  <c r="AA66" i="1"/>
  <c r="J66" i="1"/>
  <c r="T66" i="1"/>
  <c r="AC66" i="1"/>
  <c r="AK65" i="1"/>
  <c r="AL65" i="1"/>
  <c r="AK65" i="12"/>
  <c r="AJ65" i="12"/>
  <c r="AK28" i="12"/>
  <c r="AK66" i="12" s="1"/>
  <c r="AJ28" i="12"/>
  <c r="AJ66" i="12" s="1"/>
  <c r="AK66" i="5" l="1"/>
  <c r="AJ66" i="3"/>
  <c r="AL66" i="1"/>
  <c r="AK66" i="1"/>
  <c r="C65" i="13" l="1"/>
  <c r="AJ15" i="13"/>
  <c r="AK15" i="13"/>
  <c r="AJ16" i="13"/>
  <c r="AK16" i="13"/>
  <c r="AJ17" i="13"/>
  <c r="AK17" i="13"/>
  <c r="AJ18" i="13"/>
  <c r="AK18" i="13"/>
  <c r="AJ19" i="13"/>
  <c r="AK19" i="13"/>
  <c r="AJ20" i="13"/>
  <c r="AK20" i="13"/>
  <c r="AJ21" i="13"/>
  <c r="AK21" i="13"/>
  <c r="AJ22" i="13"/>
  <c r="AK22" i="13"/>
  <c r="AJ23" i="13"/>
  <c r="AK23" i="13"/>
  <c r="AJ24" i="13"/>
  <c r="AK24" i="13"/>
  <c r="AJ25" i="13"/>
  <c r="AK25" i="13"/>
  <c r="AJ26" i="13"/>
  <c r="AK26" i="13"/>
  <c r="AJ27" i="13"/>
  <c r="AK27" i="13"/>
  <c r="AK14" i="13"/>
  <c r="AJ14" i="13"/>
  <c r="C66" i="13" l="1"/>
  <c r="AJ28" i="13"/>
  <c r="AF65" i="13"/>
  <c r="AE65" i="13"/>
  <c r="AD65" i="13"/>
  <c r="AC65" i="13"/>
  <c r="AB65" i="13"/>
  <c r="AA65" i="13"/>
  <c r="Z65" i="13"/>
  <c r="Y65" i="13"/>
  <c r="X65" i="13"/>
  <c r="W65" i="13"/>
  <c r="V65" i="13"/>
  <c r="U65" i="13"/>
  <c r="T65" i="13"/>
  <c r="S65" i="13"/>
  <c r="R65" i="13"/>
  <c r="Q65" i="13"/>
  <c r="P65" i="13"/>
  <c r="O65" i="13"/>
  <c r="AL65" i="13"/>
  <c r="M65" i="13"/>
  <c r="L65" i="13"/>
  <c r="K65" i="13"/>
  <c r="J65" i="13"/>
  <c r="I65" i="13"/>
  <c r="H65" i="13"/>
  <c r="G65" i="13"/>
  <c r="F65" i="13"/>
  <c r="E65" i="13"/>
  <c r="D65" i="13"/>
  <c r="AK64" i="13"/>
  <c r="AJ64" i="13"/>
  <c r="AK63" i="13"/>
  <c r="AJ63" i="13"/>
  <c r="AK62" i="13"/>
  <c r="AJ62" i="13"/>
  <c r="AK61" i="13"/>
  <c r="AJ61" i="13"/>
  <c r="AK60" i="13"/>
  <c r="AJ60" i="13"/>
  <c r="AK59" i="13"/>
  <c r="AJ59" i="13"/>
  <c r="AK58" i="13"/>
  <c r="AJ58" i="13"/>
  <c r="AK57" i="13"/>
  <c r="AJ57" i="13"/>
  <c r="AK56" i="13"/>
  <c r="AJ56" i="13"/>
  <c r="AK55" i="13"/>
  <c r="AJ55" i="13"/>
  <c r="AK54" i="13"/>
  <c r="AJ54" i="13"/>
  <c r="AK53" i="13"/>
  <c r="AJ53" i="13"/>
  <c r="AK52" i="13"/>
  <c r="AJ52" i="13"/>
  <c r="AK51" i="13"/>
  <c r="AJ51" i="13"/>
  <c r="AK50" i="13"/>
  <c r="AJ50" i="13"/>
  <c r="AK49" i="13"/>
  <c r="AJ49" i="13"/>
  <c r="AK48" i="13"/>
  <c r="AJ48" i="13"/>
  <c r="AK47" i="13"/>
  <c r="AJ47" i="13"/>
  <c r="AK46" i="13"/>
  <c r="AJ46" i="13"/>
  <c r="AK45" i="13"/>
  <c r="AJ45" i="13"/>
  <c r="AK44" i="13"/>
  <c r="AJ44" i="13"/>
  <c r="AK43" i="13"/>
  <c r="AJ43" i="13"/>
  <c r="AK42" i="13"/>
  <c r="AJ42" i="13"/>
  <c r="AK41" i="13"/>
  <c r="AJ41" i="13"/>
  <c r="AK40" i="13"/>
  <c r="AJ40" i="13"/>
  <c r="AK39" i="13"/>
  <c r="AJ39" i="13"/>
  <c r="AK38" i="13"/>
  <c r="AJ38" i="13"/>
  <c r="AK37" i="13"/>
  <c r="AJ37" i="13"/>
  <c r="AK36" i="13"/>
  <c r="AJ36" i="13"/>
  <c r="AK35" i="13"/>
  <c r="AJ35" i="13"/>
  <c r="AK34" i="13"/>
  <c r="AJ34" i="13"/>
  <c r="AK33" i="13"/>
  <c r="AJ33" i="13"/>
  <c r="AK32" i="13"/>
  <c r="AJ32" i="13"/>
  <c r="AK31" i="13"/>
  <c r="AJ31" i="13"/>
  <c r="AK30" i="13"/>
  <c r="AJ30" i="13"/>
  <c r="AK29" i="13"/>
  <c r="AJ29" i="13"/>
  <c r="AF28" i="13"/>
  <c r="AF66" i="13" s="1"/>
  <c r="AE66" i="13"/>
  <c r="AD28" i="13"/>
  <c r="AC66" i="13"/>
  <c r="AB28" i="13"/>
  <c r="AB66" i="13" s="1"/>
  <c r="AA28" i="13"/>
  <c r="AA66" i="13" s="1"/>
  <c r="Z28" i="13"/>
  <c r="Z66" i="13" s="1"/>
  <c r="Y28" i="13"/>
  <c r="Y66" i="13" s="1"/>
  <c r="X28" i="13"/>
  <c r="X66" i="13" s="1"/>
  <c r="W28" i="13"/>
  <c r="V66" i="13"/>
  <c r="U28" i="13"/>
  <c r="U66" i="13" s="1"/>
  <c r="T28" i="13"/>
  <c r="T66" i="13" s="1"/>
  <c r="S28" i="13"/>
  <c r="R66" i="13"/>
  <c r="Q66" i="13"/>
  <c r="P28" i="13"/>
  <c r="O66" i="13"/>
  <c r="M66" i="13"/>
  <c r="L66" i="13"/>
  <c r="K66" i="13"/>
  <c r="J66" i="13"/>
  <c r="I28" i="13"/>
  <c r="H66" i="13"/>
  <c r="G66" i="13"/>
  <c r="F66" i="13"/>
  <c r="E66" i="13"/>
  <c r="AK28" i="13"/>
  <c r="S66" i="13" l="1"/>
  <c r="AL28" i="13"/>
  <c r="AJ65" i="13"/>
  <c r="AK65" i="13"/>
  <c r="AJ66" i="13"/>
  <c r="AK66" i="13"/>
  <c r="D66" i="13"/>
  <c r="AL66" i="13" l="1"/>
</calcChain>
</file>

<file path=xl/sharedStrings.xml><?xml version="1.0" encoding="utf-8"?>
<sst xmlns="http://schemas.openxmlformats.org/spreadsheetml/2006/main" count="1315" uniqueCount="120">
  <si>
    <t>No.</t>
  </si>
  <si>
    <t>NAME</t>
  </si>
  <si>
    <t>(Last Name, First Name, Name Extension, Middle Name)</t>
  </si>
  <si>
    <t>MON</t>
  </si>
  <si>
    <t>TUE</t>
  </si>
  <si>
    <t>WED</t>
  </si>
  <si>
    <t>THU</t>
  </si>
  <si>
    <t>FRI</t>
  </si>
  <si>
    <t>SAT</t>
  </si>
  <si>
    <t>ABSENT</t>
  </si>
  <si>
    <t>TARDY</t>
  </si>
  <si>
    <t>Total for the Month</t>
  </si>
  <si>
    <t>Month:</t>
  </si>
  <si>
    <t>No. of Days of Classes:</t>
  </si>
  <si>
    <t>AUGUST</t>
  </si>
  <si>
    <t>SUMMARY</t>
  </si>
  <si>
    <t>MALE</t>
  </si>
  <si>
    <t>FEMALE</t>
  </si>
  <si>
    <t>TOTAL</t>
  </si>
  <si>
    <t>* Enrolment  (as of 1st Friday of the semester)</t>
  </si>
  <si>
    <t>Late Enrolment during the month (beyond cut-off)</t>
  </si>
  <si>
    <t>Registered Learners as of end of the month</t>
  </si>
  <si>
    <t>Percentage of Enrolment as of end of the month</t>
  </si>
  <si>
    <t>Number of students absent for 5 consecutive days</t>
  </si>
  <si>
    <t>No Longer in School (NLS)</t>
  </si>
  <si>
    <t>Transferred Out</t>
  </si>
  <si>
    <t>Transferred In</t>
  </si>
  <si>
    <t>Shifting Out</t>
  </si>
  <si>
    <t>Shifting In</t>
  </si>
  <si>
    <t>REMARKS</t>
  </si>
  <si>
    <t>DATE</t>
  </si>
  <si>
    <t xml:space="preserve">1. If No Longer in School (NLS), state reason, please refer to legend number. </t>
  </si>
  <si>
    <t xml:space="preserve">2. If TRANSFERRED IN/OUT, write the name of School. </t>
  </si>
  <si>
    <t>3. If SHIFTING IN/OUT, write the name of Track/Strand/Program).</t>
  </si>
  <si>
    <t>&lt;=== MALE | TOTAL Per Day ===&gt;</t>
  </si>
  <si>
    <t>&lt;=== FEMALE | TOTAL Per Day ===&gt;</t>
  </si>
  <si>
    <t>Combined TOTAL Per Day</t>
  </si>
  <si>
    <t>School Name</t>
  </si>
  <si>
    <t>ASSUMPTION COLLEGE OF DAVAO</t>
  </si>
  <si>
    <t>FIRST SEMESTER</t>
  </si>
  <si>
    <t>Semester</t>
  </si>
  <si>
    <t>Section</t>
  </si>
  <si>
    <t>Region</t>
  </si>
  <si>
    <t>XI</t>
  </si>
  <si>
    <t>Track and Strand</t>
  </si>
  <si>
    <t xml:space="preserve">Division </t>
  </si>
  <si>
    <t>DAVAO CITY</t>
  </si>
  <si>
    <t>School ID</t>
  </si>
  <si>
    <t>School Year</t>
  </si>
  <si>
    <t>Courses (only for TVL)</t>
  </si>
  <si>
    <t>Grade Level</t>
  </si>
  <si>
    <t xml:space="preserve"> School Form 2 Daily Attendance Report of Learners  for Senior High School (SF2-SHS) </t>
  </si>
  <si>
    <t>GUIDELINES:</t>
  </si>
  <si>
    <t>1. The attendance shall be accomplished daily. Refer to the codes for checking learners' attendance
2. To compute the following:</t>
  </si>
  <si>
    <t>1. CODES FOR CHECKING ATTENDANCE</t>
  </si>
  <si>
    <t>(blank) - Present; (x) - Absent; Tardy (half shaded = Upper for Late Comer, Lower for Cutting Classes)</t>
  </si>
  <si>
    <t xml:space="preserve">2. REASONS/CAUSES FOR NO LONGER IN SCHOOL (NLS)    </t>
  </si>
  <si>
    <t>a. Domestic-Related Factors</t>
  </si>
  <si>
    <t>a.1. Had to take care of siblings
a.2. Early marriage/pregnancy
a.3. Parents' attitude toward schooling
a.4. Family problems</t>
  </si>
  <si>
    <t>b. Individual-Related Factors</t>
  </si>
  <si>
    <t>b.1. Illness
b.2. Overage
b.4. Drug Abuse
b.5. Poor Academic Performance
b.6. Lack of Interest/Distractions
b.7. Hunger/Malnutrition</t>
  </si>
  <si>
    <t>c. School-Related Factors</t>
  </si>
  <si>
    <t>c.1. Teacher Factor
c.2. Physical Condition of Classroom
c.3. Peer Influence</t>
  </si>
  <si>
    <t>d. Geographic/Environmental</t>
  </si>
  <si>
    <t>d.1. Distance between home and school
d.2. Armed conflict (incl. tribal wars &amp; clan feuds)
d.3. Calamities/Disasters</t>
  </si>
  <si>
    <t>e. Financial-Related</t>
  </si>
  <si>
    <t>e.1. Child labor, work</t>
  </si>
  <si>
    <t xml:space="preserve">f. Others (Specify)                                                                       </t>
  </si>
  <si>
    <t xml:space="preserve">a. Death                                                                               </t>
  </si>
  <si>
    <t>b. Transferred to School Abroad</t>
  </si>
  <si>
    <t xml:space="preserve">c. Transferred to International School                                                                            </t>
  </si>
  <si>
    <t>d. Transferred to ALS</t>
  </si>
  <si>
    <t>Signature of Class Adviser over Printed Name</t>
  </si>
  <si>
    <t>Attested By:</t>
  </si>
  <si>
    <t>2. To compute the following:</t>
  </si>
  <si>
    <t>Enrolment as of 1st Friday of the school year</t>
  </si>
  <si>
    <t>x 100</t>
  </si>
  <si>
    <t>a. Percentage of Enrolment =</t>
  </si>
  <si>
    <t>Total Daily Attendance</t>
  </si>
  <si>
    <t>Number of School Days in reporting month</t>
  </si>
  <si>
    <t>b. Average Daily Attendance =</t>
  </si>
  <si>
    <t>Average daily attendance</t>
  </si>
  <si>
    <t>c. Percentage of Attendance for the month =</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</si>
  <si>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</si>
  <si>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4. The Class Adviser will provide neccessary interventions including but not limited to home visitation to learner/s who were absent for 5 consecutive days and/or those at risk of dropping out.</t>
  </si>
  <si>
    <t>5.  Attendance performance of learners will be reflected in the SF9-SHS of every grading period.</t>
  </si>
  <si>
    <t>T</t>
  </si>
  <si>
    <t>for Tardiness</t>
  </si>
  <si>
    <t>Officially Dropped (with Date) - make it sure they can process dropping form @ Registrar Office</t>
  </si>
  <si>
    <t>Unofficially Dropped - mark as Absent sign</t>
  </si>
  <si>
    <t>SEPTEMBER</t>
  </si>
  <si>
    <t>OCTOBER</t>
  </si>
  <si>
    <t>NOVEMBER</t>
  </si>
  <si>
    <t>DECEMBER</t>
  </si>
  <si>
    <t>JANUARY</t>
  </si>
  <si>
    <t>FEBRUARY</t>
  </si>
  <si>
    <t>MARCH</t>
  </si>
  <si>
    <t>APRIL</t>
  </si>
  <si>
    <t>Percentage of Attendance for the month</t>
  </si>
  <si>
    <t>Average Daily Attendance</t>
  </si>
  <si>
    <t xml:space="preserve">Mark as Absent </t>
  </si>
  <si>
    <t>Signature of School Head over Printed Name</t>
  </si>
  <si>
    <t>E</t>
  </si>
  <si>
    <t xml:space="preserve">Excuse </t>
  </si>
  <si>
    <t>JULY</t>
  </si>
  <si>
    <t>DELIA M. CARASCAL, MAT-Math</t>
  </si>
  <si>
    <t>RIZAL DAY (HOLIDAY)</t>
  </si>
  <si>
    <t>X</t>
  </si>
  <si>
    <t>VANESSA LOREEN L. GULOK, LPT</t>
  </si>
  <si>
    <t>2026-2027</t>
  </si>
  <si>
    <t>ABIGAIL - DAY CLASS</t>
  </si>
  <si>
    <t>ARTS, SOCIAL SCIENCES, AND HUMANITIES</t>
  </si>
  <si>
    <t>JUNE</t>
  </si>
  <si>
    <t>HOLIDAY</t>
  </si>
  <si>
    <t>NATIONAL HEROES DAY</t>
  </si>
  <si>
    <t>FEAST OF OUR LADY OF THE ASSUMPTION (SCHOOL HOLIDAY)</t>
  </si>
  <si>
    <t>BONIFACIO DAY (HOLIDAY)</t>
  </si>
  <si>
    <t xml:space="preserve">CHRISTMAS DAY </t>
  </si>
  <si>
    <t>SCHOOL HOLIDAY</t>
  </si>
  <si>
    <t>ARAW NG KAGITINGAN (HOLIDAY)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</si>
</sst>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8"/>
      <color theme="1"/>
      <name val="Arial Narrow"/>
      <family val="2"/>
    </font>
    <font>
      <sz val="8"/>
      <color theme="1"/>
      <name val="Arial Narrow"/>
      <family val="2"/>
    </font>
    <font>
      <sz val="10"/>
      <name val="Arial"/>
      <family val="2"/>
    </font>
    <font>
      <b/>
      <sz val="8"/>
      <name val="Arial Narrow"/>
      <family val="2"/>
    </font>
    <font>
      <sz val="11"/>
      <color theme="1"/>
      <name val="Arial Narrow"/>
      <family val="2"/>
    </font>
    <font>
      <b/>
      <sz val="15"/>
      <name val="SansSerif"/>
    </font>
    <font>
      <sz val="8"/>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sz val="10"/>
      <color indexed="8"/>
      <name val="Arial Narrow"/>
      <family val="2"/>
    </font>
    <font>
      <sz val="10"/>
      <color theme="1"/>
      <name val="Calibri"/>
      <family val="2"/>
      <scheme val="minor"/>
    </font>
    <font>
      <b/>
      <sz val="12"/>
      <color theme="1"/>
      <name val="Arial"/>
      <family val="2"/>
    </font>
    <font>
      <i/>
      <sz val="10"/>
      <name val="Arial Narrow"/>
      <family val="2"/>
    </font>
    <font>
      <b/>
      <sz val="12"/>
      <name val="Arial Narrow"/>
      <family val="2"/>
    </font>
    <font>
      <sz val="12"/>
      <name val="Arial Narrow"/>
      <family val="2"/>
    </font>
    <font>
      <b/>
      <sz val="12"/>
      <color theme="1"/>
      <name val="Arial Narrow"/>
      <family val="2"/>
    </font>
  </fonts>
  <fills count="6">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ont="0" applyFill="0" applyBorder="0" applyAlignment="0" applyProtection="0"/>
  </cellStyleXfs>
  <cellXfs count="206">
    <xf numFmtId="0" fontId="0" fillId="0" borderId="0" xfId="0"/>
    <xf numFmtId="0" fontId="2" fillId="0" borderId="0" xfId="0" applyFont="1" applyAlignment="1">
      <alignment horizontal="center"/>
    </xf>
    <xf numFmtId="0" fontId="0" fillId="0" borderId="0" xfId="0" applyAlignment="1">
      <alignment vertical="center"/>
    </xf>
    <xf numFmtId="0" fontId="2" fillId="0" borderId="0" xfId="0" applyFont="1" applyAlignment="1">
      <alignment horizontal="center" vertical="center"/>
    </xf>
    <xf numFmtId="0" fontId="2" fillId="0" borderId="0" xfId="0" applyFont="1"/>
    <xf numFmtId="0" fontId="2" fillId="0" borderId="0" xfId="0" applyFont="1" applyAlignment="1">
      <alignment horizontal="right"/>
    </xf>
    <xf numFmtId="0" fontId="6" fillId="0" borderId="0" xfId="1" applyNumberFormat="1" applyFont="1" applyFill="1" applyBorder="1" applyAlignment="1" applyProtection="1">
      <alignment vertical="center" wrapText="1"/>
    </xf>
    <xf numFmtId="0" fontId="0" fillId="0" borderId="39" xfId="0" applyBorder="1"/>
    <xf numFmtId="0" fontId="4" fillId="0" borderId="0" xfId="1" applyNumberFormat="1" applyFont="1" applyFill="1" applyBorder="1" applyAlignment="1" applyProtection="1">
      <alignment vertical="center" wrapText="1"/>
    </xf>
    <xf numFmtId="0" fontId="7" fillId="0" borderId="0" xfId="1" applyNumberFormat="1" applyFont="1" applyFill="1" applyBorder="1" applyAlignment="1" applyProtection="1">
      <alignment vertical="top" wrapText="1"/>
    </xf>
    <xf numFmtId="0" fontId="7" fillId="0" borderId="0" xfId="1" applyNumberFormat="1" applyFont="1" applyFill="1" applyBorder="1" applyAlignment="1"/>
    <xf numFmtId="0" fontId="7" fillId="0" borderId="0" xfId="1" applyNumberFormat="1" applyFont="1" applyFill="1" applyBorder="1" applyAlignment="1" applyProtection="1">
      <alignment horizontal="left" vertical="top"/>
    </xf>
    <xf numFmtId="0" fontId="7" fillId="0" borderId="0" xfId="1" applyNumberFormat="1" applyFont="1" applyFill="1" applyBorder="1" applyAlignment="1" applyProtection="1">
      <alignment vertical="center"/>
    </xf>
    <xf numFmtId="0" fontId="7" fillId="0" borderId="0" xfId="1" applyNumberFormat="1" applyFont="1" applyFill="1" applyBorder="1" applyAlignment="1">
      <alignment horizontal="left"/>
    </xf>
    <xf numFmtId="0" fontId="4" fillId="0" borderId="0" xfId="1" applyNumberFormat="1" applyFont="1" applyFill="1" applyBorder="1" applyAlignment="1"/>
    <xf numFmtId="0" fontId="7" fillId="0" borderId="0" xfId="1" applyNumberFormat="1" applyFont="1" applyFill="1" applyBorder="1" applyAlignment="1" applyProtection="1">
      <alignment vertical="top"/>
    </xf>
    <xf numFmtId="0" fontId="4" fillId="0" borderId="0" xfId="1" applyFont="1" applyBorder="1" applyAlignment="1">
      <alignment wrapText="1"/>
    </xf>
    <xf numFmtId="0" fontId="0" fillId="0" borderId="31" xfId="0" applyBorder="1"/>
    <xf numFmtId="0" fontId="0" fillId="0" borderId="26" xfId="0" applyBorder="1"/>
    <xf numFmtId="0" fontId="0" fillId="0" borderId="32" xfId="0" applyBorder="1"/>
    <xf numFmtId="0" fontId="5" fillId="0" borderId="27" xfId="0" applyFont="1" applyBorder="1"/>
    <xf numFmtId="0" fontId="2" fillId="2" borderId="20" xfId="0" applyFont="1" applyFill="1" applyBorder="1"/>
    <xf numFmtId="0" fontId="2" fillId="2" borderId="3" xfId="0" applyFont="1" applyFill="1" applyBorder="1"/>
    <xf numFmtId="0" fontId="2" fillId="2" borderId="1" xfId="0" applyFont="1" applyFill="1" applyBorder="1"/>
    <xf numFmtId="0" fontId="1" fillId="0" borderId="0" xfId="0" applyFont="1" applyAlignment="1">
      <alignment horizontal="center" vertical="center"/>
    </xf>
    <xf numFmtId="0" fontId="5" fillId="0" borderId="40" xfId="0" applyFont="1" applyBorder="1"/>
    <xf numFmtId="0" fontId="2" fillId="0" borderId="2" xfId="0" applyFont="1" applyBorder="1" applyAlignment="1">
      <alignment horizontal="right"/>
    </xf>
    <xf numFmtId="0" fontId="2" fillId="0" borderId="6" xfId="0" applyFont="1" applyBorder="1"/>
    <xf numFmtId="0" fontId="2" fillId="0" borderId="5" xfId="0" applyFont="1" applyBorder="1"/>
    <xf numFmtId="0" fontId="7" fillId="0" borderId="0" xfId="1" applyFont="1" applyBorder="1" applyAlignment="1">
      <alignment vertical="top" wrapText="1"/>
    </xf>
    <xf numFmtId="0" fontId="4" fillId="0" borderId="0" xfId="1" applyFont="1" applyBorder="1" applyAlignment="1">
      <alignment vertical="center" wrapText="1"/>
    </xf>
    <xf numFmtId="0" fontId="4" fillId="0" borderId="0" xfId="1" applyFont="1" applyBorder="1" applyAlignment="1"/>
    <xf numFmtId="0" fontId="7" fillId="0" borderId="32" xfId="1" applyNumberFormat="1" applyFont="1" applyFill="1" applyBorder="1" applyAlignment="1">
      <alignment horizontal="left"/>
    </xf>
    <xf numFmtId="0" fontId="7" fillId="0" borderId="27" xfId="1" applyNumberFormat="1" applyFont="1" applyFill="1" applyBorder="1" applyAlignment="1">
      <alignment horizontal="left"/>
    </xf>
    <xf numFmtId="0" fontId="2" fillId="0" borderId="0" xfId="0" applyFont="1" applyAlignment="1">
      <alignment vertical="top"/>
    </xf>
    <xf numFmtId="0" fontId="4" fillId="0" borderId="0" xfId="1" applyFont="1" applyBorder="1" applyAlignment="1">
      <alignment horizontal="left"/>
    </xf>
    <xf numFmtId="0" fontId="7" fillId="0" borderId="0" xfId="1" applyFont="1" applyBorder="1" applyAlignment="1">
      <alignment horizontal="left" vertical="top" wrapText="1"/>
    </xf>
    <xf numFmtId="0" fontId="4" fillId="0" borderId="0" xfId="1" applyFont="1" applyBorder="1" applyAlignment="1">
      <alignment horizontal="left" vertical="center" wrapText="1"/>
    </xf>
    <xf numFmtId="0" fontId="4" fillId="0" borderId="0" xfId="1" applyFont="1" applyBorder="1" applyAlignment="1">
      <alignment horizontal="left" wrapText="1"/>
    </xf>
    <xf numFmtId="0" fontId="2" fillId="0" borderId="43" xfId="0" applyFont="1" applyBorder="1" applyAlignment="1">
      <alignment horizontal="center"/>
    </xf>
    <xf numFmtId="0" fontId="2" fillId="0" borderId="17" xfId="0" applyFont="1" applyBorder="1" applyAlignment="1">
      <alignment horizontal="center"/>
    </xf>
    <xf numFmtId="0" fontId="2" fillId="0" borderId="28" xfId="0" applyFont="1" applyBorder="1" applyAlignment="1">
      <alignment horizontal="center"/>
    </xf>
    <xf numFmtId="0" fontId="2" fillId="0" borderId="44" xfId="0" applyFont="1" applyBorder="1" applyAlignment="1">
      <alignment horizontal="center"/>
    </xf>
    <xf numFmtId="0" fontId="11" fillId="0" borderId="3" xfId="0" applyFont="1" applyBorder="1" applyAlignment="1">
      <alignment horizontal="center"/>
    </xf>
    <xf numFmtId="0" fontId="10" fillId="0" borderId="20" xfId="0" applyFont="1" applyBorder="1" applyAlignment="1">
      <alignment horizontal="center"/>
    </xf>
    <xf numFmtId="0" fontId="10" fillId="2" borderId="20" xfId="0" applyFont="1" applyFill="1" applyBorder="1" applyAlignment="1">
      <alignment horizontal="center"/>
    </xf>
    <xf numFmtId="0" fontId="10" fillId="0" borderId="42" xfId="0" applyFont="1" applyBorder="1" applyAlignment="1">
      <alignment horizontal="center"/>
    </xf>
    <xf numFmtId="0" fontId="10" fillId="0" borderId="18" xfId="0" applyFont="1" applyBorder="1" applyAlignment="1">
      <alignment horizontal="center"/>
    </xf>
    <xf numFmtId="0" fontId="10" fillId="0" borderId="41" xfId="0" applyFont="1" applyBorder="1" applyAlignment="1">
      <alignment horizontal="center"/>
    </xf>
    <xf numFmtId="0" fontId="2" fillId="0" borderId="45" xfId="0" applyFont="1" applyBorder="1" applyAlignment="1">
      <alignment horizontal="center"/>
    </xf>
    <xf numFmtId="0" fontId="2" fillId="0" borderId="39" xfId="0" applyFont="1" applyBorder="1" applyAlignment="1">
      <alignment horizontal="center"/>
    </xf>
    <xf numFmtId="0" fontId="8" fillId="5" borderId="10" xfId="0" applyFont="1" applyFill="1" applyBorder="1" applyAlignment="1">
      <alignment vertical="center"/>
    </xf>
    <xf numFmtId="0" fontId="8" fillId="5" borderId="12" xfId="0" applyFont="1" applyFill="1" applyBorder="1" applyAlignment="1">
      <alignment vertical="center" wrapText="1"/>
    </xf>
    <xf numFmtId="0" fontId="8" fillId="5" borderId="12" xfId="0" applyFont="1" applyFill="1" applyBorder="1" applyAlignment="1">
      <alignment vertical="center"/>
    </xf>
    <xf numFmtId="0" fontId="8" fillId="0" borderId="12" xfId="0" quotePrefix="1" applyFont="1" applyBorder="1" applyAlignment="1">
      <alignment vertical="center" wrapText="1"/>
    </xf>
    <xf numFmtId="0" fontId="8" fillId="0" borderId="30" xfId="0" quotePrefix="1" applyFont="1" applyBorder="1" applyAlignment="1">
      <alignment vertical="center" wrapText="1"/>
    </xf>
    <xf numFmtId="0" fontId="12" fillId="5" borderId="12" xfId="0" applyFont="1" applyFill="1" applyBorder="1" applyAlignment="1">
      <alignment vertical="center"/>
    </xf>
    <xf numFmtId="0" fontId="8" fillId="5" borderId="30" xfId="0" applyFont="1" applyFill="1" applyBorder="1" applyAlignment="1">
      <alignment vertical="center" wrapText="1"/>
    </xf>
    <xf numFmtId="0" fontId="7" fillId="0" borderId="0" xfId="1" applyNumberFormat="1" applyFont="1" applyFill="1" applyBorder="1" applyAlignment="1" applyProtection="1">
      <alignment horizontal="left" vertical="center" wrapText="1"/>
    </xf>
    <xf numFmtId="0" fontId="2" fillId="0" borderId="0" xfId="0" applyFont="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3" fillId="2" borderId="25" xfId="0" applyFont="1" applyFill="1" applyBorder="1" applyAlignment="1">
      <alignment vertical="center"/>
    </xf>
    <xf numFmtId="0" fontId="13" fillId="2" borderId="9" xfId="0" applyFont="1" applyFill="1" applyBorder="1" applyAlignment="1">
      <alignment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3" fillId="2" borderId="37" xfId="0" applyFont="1" applyFill="1" applyBorder="1" applyAlignment="1">
      <alignment vertical="center"/>
    </xf>
    <xf numFmtId="0" fontId="13" fillId="2" borderId="14" xfId="0" applyFont="1" applyFill="1" applyBorder="1" applyAlignment="1">
      <alignment vertical="center"/>
    </xf>
    <xf numFmtId="0" fontId="10" fillId="0" borderId="3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9" xfId="0" applyFont="1" applyBorder="1" applyAlignment="1">
      <alignment horizontal="center" vertical="center"/>
    </xf>
    <xf numFmtId="0" fontId="11" fillId="0" borderId="38" xfId="0" applyFont="1" applyBorder="1" applyAlignment="1">
      <alignment horizontal="center" vertical="center"/>
    </xf>
    <xf numFmtId="0" fontId="16" fillId="0" borderId="1" xfId="1" applyFont="1" applyBorder="1" applyAlignment="1">
      <alignment horizontal="center" vertical="center"/>
    </xf>
    <xf numFmtId="0" fontId="16" fillId="0" borderId="12" xfId="1" applyFont="1" applyBorder="1" applyAlignment="1">
      <alignment horizontal="center" vertical="center"/>
    </xf>
    <xf numFmtId="0" fontId="16" fillId="0" borderId="1"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30" xfId="1" applyFont="1" applyBorder="1" applyAlignment="1">
      <alignment horizontal="center" vertical="center"/>
    </xf>
    <xf numFmtId="0" fontId="17" fillId="0" borderId="1" xfId="1" applyFont="1" applyBorder="1" applyAlignment="1">
      <alignment horizontal="center" vertical="center"/>
    </xf>
    <xf numFmtId="0" fontId="17" fillId="0" borderId="12" xfId="1" applyFont="1" applyBorder="1" applyAlignment="1">
      <alignment horizontal="center" vertical="center"/>
    </xf>
    <xf numFmtId="10" fontId="17" fillId="0" borderId="1" xfId="1" applyNumberFormat="1" applyFont="1" applyBorder="1" applyAlignment="1">
      <alignment horizontal="center" vertical="center"/>
    </xf>
    <xf numFmtId="10" fontId="17" fillId="0" borderId="12" xfId="1" applyNumberFormat="1" applyFont="1" applyBorder="1" applyAlignment="1">
      <alignment horizontal="center" vertical="center"/>
    </xf>
    <xf numFmtId="0" fontId="11" fillId="0" borderId="1" xfId="0" applyFont="1" applyBorder="1" applyAlignment="1">
      <alignment horizontal="center" vertical="center"/>
    </xf>
    <xf numFmtId="0" fontId="11" fillId="0" borderId="8" xfId="0" applyFont="1" applyBorder="1" applyAlignment="1">
      <alignment vertical="center"/>
    </xf>
    <xf numFmtId="0" fontId="18" fillId="0" borderId="3" xfId="0" applyFont="1" applyBorder="1" applyAlignment="1">
      <alignment horizontal="center"/>
    </xf>
    <xf numFmtId="0" fontId="18" fillId="0" borderId="32" xfId="0" applyFont="1" applyBorder="1" applyAlignment="1">
      <alignment horizontal="center"/>
    </xf>
    <xf numFmtId="0" fontId="10" fillId="0" borderId="24" xfId="0" applyFont="1" applyBorder="1" applyAlignment="1">
      <alignment horizontal="center" vertical="center"/>
    </xf>
    <xf numFmtId="0" fontId="10" fillId="0" borderId="33" xfId="0" applyFont="1" applyBorder="1" applyAlignment="1">
      <alignment horizontal="center" vertical="center"/>
    </xf>
    <xf numFmtId="0" fontId="10" fillId="0" borderId="46" xfId="0" applyFont="1" applyBorder="1" applyAlignment="1">
      <alignment horizontal="center" vertical="center"/>
    </xf>
    <xf numFmtId="0" fontId="10" fillId="0" borderId="48" xfId="0" applyFont="1" applyBorder="1" applyAlignment="1">
      <alignment horizontal="center" vertical="center"/>
    </xf>
    <xf numFmtId="0" fontId="7" fillId="0" borderId="32" xfId="1" applyNumberFormat="1" applyFont="1" applyFill="1" applyBorder="1" applyAlignment="1" applyProtection="1">
      <alignment horizontal="left" vertical="top"/>
    </xf>
    <xf numFmtId="0" fontId="7" fillId="0" borderId="0" xfId="1" applyNumberFormat="1" applyFont="1" applyFill="1" applyBorder="1" applyAlignment="1" applyProtection="1">
      <alignment horizontal="left" vertical="top"/>
    </xf>
    <xf numFmtId="0" fontId="7" fillId="0" borderId="27" xfId="1" applyNumberFormat="1" applyFont="1" applyFill="1" applyBorder="1" applyAlignment="1" applyProtection="1">
      <alignment horizontal="left" vertical="top"/>
    </xf>
    <xf numFmtId="0" fontId="7" fillId="0" borderId="39" xfId="1" applyNumberFormat="1" applyFont="1" applyFill="1" applyBorder="1" applyAlignment="1" applyProtection="1">
      <alignment horizontal="left" vertical="top"/>
    </xf>
    <xf numFmtId="0" fontId="7" fillId="0" borderId="37" xfId="1" applyNumberFormat="1" applyFont="1" applyFill="1" applyBorder="1" applyAlignment="1" applyProtection="1">
      <alignment horizontal="left" vertical="top"/>
    </xf>
    <xf numFmtId="0" fontId="7" fillId="0" borderId="40" xfId="1" applyNumberFormat="1" applyFont="1" applyFill="1" applyBorder="1" applyAlignment="1" applyProtection="1">
      <alignment horizontal="left" vertical="top"/>
    </xf>
    <xf numFmtId="0" fontId="11" fillId="4" borderId="23" xfId="0" applyFont="1" applyFill="1" applyBorder="1" applyAlignment="1">
      <alignment horizontal="center" vertical="center" textRotation="255"/>
    </xf>
    <xf numFmtId="0" fontId="11" fillId="4" borderId="4" xfId="0" applyFont="1" applyFill="1" applyBorder="1" applyAlignment="1">
      <alignment horizontal="center" vertical="center" textRotation="255"/>
    </xf>
    <xf numFmtId="0" fontId="11" fillId="4" borderId="47" xfId="0" applyFont="1" applyFill="1" applyBorder="1" applyAlignment="1">
      <alignment horizontal="center" vertical="center" textRotation="255"/>
    </xf>
    <xf numFmtId="0" fontId="7" fillId="0" borderId="32" xfId="1" applyFont="1" applyBorder="1" applyAlignment="1">
      <alignment horizontal="left" vertical="top" wrapText="1"/>
    </xf>
    <xf numFmtId="0" fontId="7" fillId="0" borderId="0" xfId="1" applyFont="1" applyBorder="1" applyAlignment="1">
      <alignment horizontal="left" vertical="top" wrapText="1"/>
    </xf>
    <xf numFmtId="0" fontId="7" fillId="0" borderId="27" xfId="1" applyFont="1" applyBorder="1" applyAlignment="1">
      <alignment horizontal="left" vertical="top" wrapText="1"/>
    </xf>
    <xf numFmtId="0" fontId="4" fillId="0" borderId="32" xfId="1" applyFont="1" applyBorder="1" applyAlignment="1">
      <alignment horizontal="left" wrapText="1"/>
    </xf>
    <xf numFmtId="0" fontId="4" fillId="0" borderId="0" xfId="1" applyFont="1" applyBorder="1" applyAlignment="1">
      <alignment horizontal="left" wrapText="1"/>
    </xf>
    <xf numFmtId="0" fontId="4" fillId="0" borderId="27" xfId="1" applyFont="1" applyBorder="1" applyAlignment="1">
      <alignment horizontal="left" wrapText="1"/>
    </xf>
    <xf numFmtId="0" fontId="9" fillId="0" borderId="37" xfId="1" applyFont="1" applyBorder="1" applyAlignment="1">
      <alignment horizontal="center" wrapText="1"/>
    </xf>
    <xf numFmtId="0" fontId="7" fillId="0" borderId="0" xfId="1" applyNumberFormat="1" applyFont="1" applyFill="1" applyBorder="1" applyAlignment="1" applyProtection="1">
      <alignment horizontal="center" vertical="top"/>
    </xf>
    <xf numFmtId="0" fontId="4" fillId="0" borderId="32" xfId="1" applyFont="1" applyBorder="1" applyAlignment="1">
      <alignment horizontal="left"/>
    </xf>
    <xf numFmtId="0" fontId="4" fillId="0" borderId="0" xfId="1" applyFont="1" applyBorder="1" applyAlignment="1">
      <alignment horizontal="left"/>
    </xf>
    <xf numFmtId="0" fontId="4" fillId="0" borderId="27" xfId="1" applyFont="1" applyBorder="1" applyAlignment="1">
      <alignment horizontal="left"/>
    </xf>
    <xf numFmtId="0" fontId="9" fillId="0" borderId="13" xfId="1" applyFont="1" applyBorder="1" applyAlignment="1">
      <alignment horizontal="left" vertical="center" wrapText="1"/>
    </xf>
    <xf numFmtId="0" fontId="9" fillId="0" borderId="14" xfId="1" applyFont="1" applyBorder="1" applyAlignment="1">
      <alignment horizontal="left" vertical="center" wrapText="1"/>
    </xf>
    <xf numFmtId="0" fontId="9" fillId="0" borderId="37" xfId="1" applyNumberFormat="1" applyFont="1" applyFill="1" applyBorder="1" applyAlignment="1">
      <alignment horizontal="center"/>
    </xf>
    <xf numFmtId="0" fontId="7" fillId="0" borderId="25" xfId="1" applyNumberFormat="1" applyFont="1" applyFill="1" applyBorder="1" applyAlignment="1" applyProtection="1">
      <alignment horizontal="center" vertical="top"/>
    </xf>
    <xf numFmtId="0" fontId="9" fillId="0" borderId="11" xfId="1" applyFont="1" applyBorder="1" applyAlignment="1">
      <alignment horizontal="left" vertical="center"/>
    </xf>
    <xf numFmtId="0" fontId="9" fillId="0" borderId="1" xfId="1" applyFont="1" applyBorder="1" applyAlignment="1">
      <alignment horizontal="left" vertical="center"/>
    </xf>
    <xf numFmtId="0" fontId="7" fillId="0" borderId="0" xfId="1" applyNumberFormat="1" applyFont="1" applyFill="1" applyBorder="1" applyAlignment="1" applyProtection="1">
      <alignment horizontal="left" vertical="top" wrapText="1"/>
    </xf>
    <xf numFmtId="0" fontId="9" fillId="0" borderId="11" xfId="1" applyFont="1" applyBorder="1" applyAlignment="1">
      <alignment horizontal="left" vertical="center" wrapText="1"/>
    </xf>
    <xf numFmtId="0" fontId="9" fillId="0" borderId="1" xfId="1" applyFont="1" applyBorder="1" applyAlignment="1">
      <alignment horizontal="left" vertical="center" wrapText="1"/>
    </xf>
    <xf numFmtId="0" fontId="2" fillId="0" borderId="0" xfId="0" applyFont="1" applyAlignment="1">
      <alignment horizontal="left" vertical="center" wrapText="1"/>
    </xf>
    <xf numFmtId="0" fontId="15" fillId="0" borderId="43" xfId="1" applyFont="1" applyBorder="1" applyAlignment="1">
      <alignment horizontal="left" vertical="center" wrapText="1"/>
    </xf>
    <xf numFmtId="0" fontId="15" fillId="0" borderId="17" xfId="1" applyFont="1" applyBorder="1" applyAlignment="1">
      <alignment horizontal="left" vertical="center" wrapText="1"/>
    </xf>
    <xf numFmtId="0" fontId="2" fillId="0" borderId="0" xfId="0" applyFont="1" applyAlignment="1">
      <alignment horizontal="left" vertical="center"/>
    </xf>
    <xf numFmtId="0" fontId="2" fillId="0" borderId="37" xfId="0" applyFont="1" applyBorder="1" applyAlignment="1">
      <alignment horizontal="center"/>
    </xf>
    <xf numFmtId="0" fontId="2" fillId="0" borderId="0" xfId="0" applyFont="1" applyAlignment="1">
      <alignment horizontal="center" vertical="center"/>
    </xf>
    <xf numFmtId="0" fontId="15" fillId="0" borderId="11" xfId="1" applyFont="1" applyBorder="1" applyAlignment="1">
      <alignment horizontal="left" vertical="center" wrapText="1"/>
    </xf>
    <xf numFmtId="0" fontId="15" fillId="0" borderId="1" xfId="1" applyFont="1" applyBorder="1" applyAlignment="1">
      <alignment horizontal="left" vertical="center" wrapText="1"/>
    </xf>
    <xf numFmtId="0" fontId="7" fillId="0" borderId="0" xfId="1" applyNumberFormat="1" applyFont="1" applyFill="1" applyBorder="1" applyAlignment="1" applyProtection="1">
      <alignment horizontal="center" vertical="top" wrapText="1"/>
    </xf>
    <xf numFmtId="0" fontId="0" fillId="3" borderId="11" xfId="0" applyFill="1" applyBorder="1" applyAlignment="1">
      <alignment horizontal="center"/>
    </xf>
    <xf numFmtId="0" fontId="0" fillId="3" borderId="1" xfId="0" applyFill="1" applyBorder="1" applyAlignment="1">
      <alignment horizontal="center"/>
    </xf>
    <xf numFmtId="0" fontId="0" fillId="3" borderId="12" xfId="0" applyFill="1" applyBorder="1" applyAlignment="1">
      <alignment horizontal="center"/>
    </xf>
    <xf numFmtId="0" fontId="2" fillId="0" borderId="0" xfId="0" applyFont="1" applyAlignment="1">
      <alignment horizontal="center" vertical="top"/>
    </xf>
    <xf numFmtId="0" fontId="7" fillId="0" borderId="0" xfId="1" applyNumberFormat="1" applyFont="1" applyFill="1" applyBorder="1" applyAlignment="1" applyProtection="1">
      <alignment horizontal="left" vertical="center" wrapText="1"/>
    </xf>
    <xf numFmtId="0" fontId="14" fillId="0" borderId="1" xfId="0" applyFont="1" applyBorder="1" applyAlignment="1">
      <alignment horizontal="center" vertical="center"/>
    </xf>
    <xf numFmtId="0" fontId="7" fillId="0" borderId="0" xfId="1" applyNumberFormat="1" applyFont="1" applyFill="1" applyBorder="1" applyAlignment="1" applyProtection="1">
      <alignment horizontal="left"/>
    </xf>
    <xf numFmtId="0" fontId="4" fillId="0" borderId="32" xfId="1" applyFont="1" applyBorder="1" applyAlignment="1">
      <alignment horizontal="left" vertical="center" wrapText="1"/>
    </xf>
    <xf numFmtId="0" fontId="4" fillId="0" borderId="0" xfId="1" applyFont="1" applyBorder="1" applyAlignment="1">
      <alignment horizontal="left" vertical="center" wrapText="1"/>
    </xf>
    <xf numFmtId="0" fontId="4" fillId="0" borderId="27" xfId="1" applyFont="1" applyBorder="1" applyAlignment="1">
      <alignment horizontal="left" vertical="center" wrapText="1"/>
    </xf>
    <xf numFmtId="0" fontId="9" fillId="0" borderId="19" xfId="1" applyFont="1" applyBorder="1" applyAlignment="1">
      <alignment horizontal="center" vertical="center" wrapText="1"/>
    </xf>
    <xf numFmtId="0" fontId="9" fillId="0" borderId="38" xfId="1" applyFont="1" applyBorder="1" applyAlignment="1">
      <alignment horizontal="center" vertical="center" wrapText="1"/>
    </xf>
    <xf numFmtId="0" fontId="10" fillId="0" borderId="21" xfId="0" applyFont="1" applyBorder="1" applyAlignment="1">
      <alignment horizontal="center"/>
    </xf>
    <xf numFmtId="0" fontId="10" fillId="0" borderId="22" xfId="0" applyFont="1" applyBorder="1" applyAlignment="1">
      <alignment horizontal="center"/>
    </xf>
    <xf numFmtId="0" fontId="4" fillId="0" borderId="0" xfId="1" applyNumberFormat="1" applyFont="1" applyFill="1" applyBorder="1" applyAlignment="1" applyProtection="1">
      <alignment horizontal="left" vertical="center" wrapText="1"/>
    </xf>
    <xf numFmtId="0" fontId="4" fillId="0" borderId="31" xfId="1" applyFont="1" applyBorder="1" applyAlignment="1">
      <alignment horizontal="left" vertical="center" wrapText="1"/>
    </xf>
    <xf numFmtId="0" fontId="4" fillId="0" borderId="25" xfId="1" applyFont="1" applyBorder="1" applyAlignment="1">
      <alignment horizontal="left" vertical="center" wrapText="1"/>
    </xf>
    <xf numFmtId="0" fontId="4" fillId="0" borderId="26" xfId="1" applyFont="1" applyBorder="1" applyAlignment="1">
      <alignment horizontal="left" vertical="center" wrapText="1"/>
    </xf>
    <xf numFmtId="0" fontId="11" fillId="0" borderId="9" xfId="0" applyFont="1" applyBorder="1" applyAlignment="1">
      <alignment horizontal="left"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2" fillId="0" borderId="43" xfId="0" applyFont="1" applyBorder="1" applyAlignment="1">
      <alignment horizontal="center"/>
    </xf>
    <xf numFmtId="0" fontId="2" fillId="0" borderId="17" xfId="0" applyFont="1" applyBorder="1" applyAlignment="1">
      <alignment horizontal="center"/>
    </xf>
    <xf numFmtId="0" fontId="2" fillId="0" borderId="28" xfId="0" applyFont="1" applyBorder="1" applyAlignment="1">
      <alignment horizontal="center"/>
    </xf>
    <xf numFmtId="0" fontId="2" fillId="0" borderId="44" xfId="0" applyFont="1" applyBorder="1" applyAlignment="1">
      <alignment horizontal="center"/>
    </xf>
    <xf numFmtId="0" fontId="2" fillId="0" borderId="15" xfId="0" applyFont="1" applyBorder="1" applyAlignment="1">
      <alignment horizontal="center"/>
    </xf>
    <xf numFmtId="0" fontId="2" fillId="0" borderId="29" xfId="0" applyFont="1" applyBorder="1" applyAlignment="1">
      <alignment horizontal="center"/>
    </xf>
    <xf numFmtId="0" fontId="11" fillId="0" borderId="19" xfId="0" applyFont="1" applyBorder="1" applyAlignment="1">
      <alignment horizontal="center"/>
    </xf>
    <xf numFmtId="0" fontId="11" fillId="0" borderId="38" xfId="0" applyFont="1" applyBorder="1" applyAlignment="1">
      <alignment horizontal="center"/>
    </xf>
    <xf numFmtId="0" fontId="10" fillId="0" borderId="32" xfId="0" applyFont="1" applyBorder="1" applyAlignment="1">
      <alignment horizontal="left" vertical="center" wrapText="1"/>
    </xf>
    <xf numFmtId="0" fontId="10" fillId="0" borderId="0" xfId="0" applyFont="1" applyAlignment="1">
      <alignment horizontal="left" vertical="center" wrapText="1"/>
    </xf>
    <xf numFmtId="0" fontId="10" fillId="0" borderId="27" xfId="0" applyFont="1" applyBorder="1" applyAlignment="1">
      <alignment horizontal="left" vertical="center" wrapText="1"/>
    </xf>
    <xf numFmtId="0" fontId="10" fillId="0" borderId="32" xfId="0" applyFont="1" applyBorder="1" applyAlignment="1">
      <alignment horizontal="center" vertical="top" wrapText="1"/>
    </xf>
    <xf numFmtId="0" fontId="10" fillId="0" borderId="39" xfId="0" applyFont="1" applyBorder="1" applyAlignment="1">
      <alignment horizontal="center" vertical="top" wrapText="1"/>
    </xf>
    <xf numFmtId="0" fontId="10" fillId="0" borderId="39" xfId="0" applyFont="1" applyBorder="1" applyAlignment="1">
      <alignment horizontal="left" vertical="center" wrapText="1"/>
    </xf>
    <xf numFmtId="0" fontId="10" fillId="0" borderId="37" xfId="0" applyFont="1" applyBorder="1" applyAlignment="1">
      <alignment horizontal="left" vertical="center" wrapText="1"/>
    </xf>
    <xf numFmtId="0" fontId="10" fillId="0" borderId="40" xfId="0" applyFont="1" applyBorder="1" applyAlignment="1">
      <alignment horizontal="left" vertical="center" wrapText="1"/>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5" xfId="0" applyFont="1" applyBorder="1" applyAlignment="1">
      <alignment horizontal="center" vertical="center"/>
    </xf>
    <xf numFmtId="0" fontId="2" fillId="0" borderId="7" xfId="0" applyFont="1" applyBorder="1" applyAlignment="1">
      <alignment horizontal="right"/>
    </xf>
    <xf numFmtId="0" fontId="2" fillId="0" borderId="0" xfId="0" applyFont="1" applyAlignment="1">
      <alignment horizontal="right"/>
    </xf>
    <xf numFmtId="0" fontId="2" fillId="0" borderId="2" xfId="0" applyFont="1" applyBorder="1" applyAlignment="1">
      <alignment horizontal="right"/>
    </xf>
    <xf numFmtId="0" fontId="2" fillId="0" borderId="16" xfId="0" applyFont="1" applyBorder="1" applyAlignment="1">
      <alignment horizontal="center"/>
    </xf>
    <xf numFmtId="0" fontId="2" fillId="0" borderId="5" xfId="0" applyFont="1" applyBorder="1" applyAlignment="1">
      <alignment horizont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11" fillId="0" borderId="34" xfId="0" applyFont="1" applyBorder="1" applyAlignment="1">
      <alignment horizontal="center"/>
    </xf>
    <xf numFmtId="0" fontId="11" fillId="0" borderId="35" xfId="0" applyFont="1" applyBorder="1" applyAlignment="1">
      <alignment horizont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6" fillId="0" borderId="0" xfId="1" applyNumberFormat="1" applyFont="1" applyFill="1" applyBorder="1" applyAlignment="1" applyProtection="1">
      <alignment horizontal="center" vertical="center" wrapText="1"/>
    </xf>
    <xf numFmtId="0" fontId="2" fillId="0" borderId="0" xfId="0" applyFont="1" applyAlignment="1">
      <alignment horizontal="right" vertical="center"/>
    </xf>
    <xf numFmtId="0" fontId="1" fillId="0" borderId="31" xfId="0" applyFont="1" applyBorder="1" applyAlignment="1">
      <alignment horizontal="center" vertical="center"/>
    </xf>
    <xf numFmtId="0" fontId="1" fillId="0" borderId="26" xfId="0" applyFont="1" applyBorder="1" applyAlignment="1">
      <alignment horizontal="center" vertical="center"/>
    </xf>
    <xf numFmtId="0" fontId="1" fillId="0" borderId="39" xfId="0" applyFont="1" applyBorder="1" applyAlignment="1">
      <alignment horizontal="center" vertical="center"/>
    </xf>
    <xf numFmtId="0" fontId="1" fillId="0" borderId="37" xfId="0" applyFont="1" applyBorder="1" applyAlignment="1">
      <alignment horizontal="center" vertical="center"/>
    </xf>
    <xf numFmtId="0" fontId="1" fillId="0" borderId="40" xfId="0" applyFont="1" applyBorder="1" applyAlignment="1">
      <alignment horizontal="center" vertical="center"/>
    </xf>
    <xf numFmtId="0" fontId="2" fillId="0" borderId="0" xfId="0" applyFont="1" applyAlignment="1">
      <alignment horizontal="center"/>
    </xf>
    <xf numFmtId="0" fontId="2" fillId="0" borderId="2" xfId="0" applyFont="1" applyBorder="1" applyAlignment="1">
      <alignment horizontal="center"/>
    </xf>
    <xf numFmtId="0" fontId="10" fillId="0" borderId="35" xfId="0" applyFont="1" applyBorder="1" applyAlignment="1">
      <alignment horizontal="center" vertical="top" wrapText="1"/>
    </xf>
    <xf numFmtId="0" fontId="10" fillId="0" borderId="36" xfId="0" applyFont="1" applyBorder="1" applyAlignment="1">
      <alignment horizontal="center" vertical="top" wrapText="1"/>
    </xf>
    <xf numFmtId="0" fontId="11" fillId="0" borderId="31" xfId="0" applyFont="1" applyBorder="1" applyAlignment="1">
      <alignment horizontal="center"/>
    </xf>
    <xf numFmtId="0" fontId="11" fillId="0" borderId="25" xfId="0" applyFont="1" applyBorder="1" applyAlignment="1">
      <alignment horizontal="center"/>
    </xf>
    <xf numFmtId="0" fontId="11" fillId="0" borderId="26" xfId="0" applyFont="1" applyBorder="1" applyAlignment="1">
      <alignment horizontal="center"/>
    </xf>
    <xf numFmtId="0" fontId="11" fillId="0" borderId="39" xfId="0" applyFont="1" applyBorder="1" applyAlignment="1">
      <alignment horizontal="center"/>
    </xf>
    <xf numFmtId="0" fontId="11" fillId="0" borderId="37" xfId="0" applyFont="1" applyBorder="1" applyAlignment="1">
      <alignment horizontal="center"/>
    </xf>
    <xf numFmtId="0" fontId="11" fillId="0" borderId="40" xfId="0" applyFont="1" applyBorder="1" applyAlignment="1">
      <alignment horizontal="center"/>
    </xf>
  </cellXfs>
  <cellStyles count="2">
    <cellStyle name="Normal" xfId="0" builtinId="0"/>
    <cellStyle name="Normal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76199</xdr:colOff>
      <xdr:row>0</xdr:row>
      <xdr:rowOff>123825</xdr:rowOff>
    </xdr:from>
    <xdr:to>
      <xdr:col>1</xdr:col>
      <xdr:colOff>1030164</xdr:colOff>
      <xdr:row>5</xdr:row>
      <xdr:rowOff>104775</xdr:rowOff>
    </xdr:to>
    <xdr:pic>
      <xdr:nvPicPr>
        <xdr:cNvPr id="2" name="Picture 1">
          <a:extLst>
            <a:ext uri="{FF2B5EF4-FFF2-40B4-BE49-F238E27FC236}">
              <a16:creationId xmlns:a16="http://schemas.microsoft.com/office/drawing/2014/main" id="{71ADB8C2-680B-433D-9DDB-5EA339F93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123825"/>
          <a:ext cx="953965" cy="933450"/>
        </a:xfrm>
        <a:prstGeom prst="rect">
          <a:avLst/>
        </a:prstGeom>
      </xdr:spPr>
    </xdr:pic>
    <xdr:clientData/>
  </xdr:twoCellAnchor>
  <xdr:twoCellAnchor editAs="oneCell">
    <xdr:from>
      <xdr:col>38</xdr:col>
      <xdr:colOff>342901</xdr:colOff>
      <xdr:row>0</xdr:row>
      <xdr:rowOff>3441</xdr:rowOff>
    </xdr:from>
    <xdr:to>
      <xdr:col>39</xdr:col>
      <xdr:colOff>478970</xdr:colOff>
      <xdr:row>2</xdr:row>
      <xdr:rowOff>111578</xdr:rowOff>
    </xdr:to>
    <xdr:pic>
      <xdr:nvPicPr>
        <xdr:cNvPr id="3" name="Picture 2">
          <a:extLst>
            <a:ext uri="{FF2B5EF4-FFF2-40B4-BE49-F238E27FC236}">
              <a16:creationId xmlns:a16="http://schemas.microsoft.com/office/drawing/2014/main" id="{9AD00EE6-6001-4951-B683-5F4BB0A863F8}"/>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1908972" y="3441"/>
          <a:ext cx="748391" cy="59799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76199</xdr:colOff>
      <xdr:row>0</xdr:row>
      <xdr:rowOff>123825</xdr:rowOff>
    </xdr:from>
    <xdr:to>
      <xdr:col>1</xdr:col>
      <xdr:colOff>1030164</xdr:colOff>
      <xdr:row>5</xdr:row>
      <xdr:rowOff>104775</xdr:rowOff>
    </xdr:to>
    <xdr:pic>
      <xdr:nvPicPr>
        <xdr:cNvPr id="4" name="Picture 3">
          <a:extLst>
            <a:ext uri="{FF2B5EF4-FFF2-40B4-BE49-F238E27FC236}">
              <a16:creationId xmlns:a16="http://schemas.microsoft.com/office/drawing/2014/main" id="{D11BEDF4-8E71-4369-8C65-918B4F2392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123825"/>
          <a:ext cx="953965" cy="981075"/>
        </a:xfrm>
        <a:prstGeom prst="rect">
          <a:avLst/>
        </a:prstGeom>
      </xdr:spPr>
    </xdr:pic>
    <xdr:clientData/>
  </xdr:twoCellAnchor>
  <xdr:twoCellAnchor editAs="oneCell">
    <xdr:from>
      <xdr:col>38</xdr:col>
      <xdr:colOff>342901</xdr:colOff>
      <xdr:row>0</xdr:row>
      <xdr:rowOff>3441</xdr:rowOff>
    </xdr:from>
    <xdr:to>
      <xdr:col>39</xdr:col>
      <xdr:colOff>478970</xdr:colOff>
      <xdr:row>2</xdr:row>
      <xdr:rowOff>111578</xdr:rowOff>
    </xdr:to>
    <xdr:pic>
      <xdr:nvPicPr>
        <xdr:cNvPr id="5" name="Picture 4">
          <a:extLst>
            <a:ext uri="{FF2B5EF4-FFF2-40B4-BE49-F238E27FC236}">
              <a16:creationId xmlns:a16="http://schemas.microsoft.com/office/drawing/2014/main" id="{5D2786C1-A9AB-40AC-A9B8-E392DBC9828D}"/>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1896726" y="3441"/>
          <a:ext cx="745669" cy="60343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39</xdr:col>
      <xdr:colOff>342901</xdr:colOff>
      <xdr:row>0</xdr:row>
      <xdr:rowOff>3441</xdr:rowOff>
    </xdr:from>
    <xdr:to>
      <xdr:col>40</xdr:col>
      <xdr:colOff>477288</xdr:colOff>
      <xdr:row>2</xdr:row>
      <xdr:rowOff>111578</xdr:rowOff>
    </xdr:to>
    <xdr:pic>
      <xdr:nvPicPr>
        <xdr:cNvPr id="5" name="Picture 4">
          <a:extLst>
            <a:ext uri="{FF2B5EF4-FFF2-40B4-BE49-F238E27FC236}">
              <a16:creationId xmlns:a16="http://schemas.microsoft.com/office/drawing/2014/main" id="{C994C73A-E38F-459A-8010-78EA3F42EC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11896726" y="3441"/>
          <a:ext cx="745669" cy="603437"/>
        </a:xfrm>
        <a:prstGeom prst="rect">
          <a:avLst/>
        </a:prstGeom>
        <a:noFill/>
        <a:ln w="9525">
          <a:noFill/>
          <a:miter lim="800000"/>
          <a:headEnd/>
          <a:tailEnd/>
        </a:ln>
      </xdr:spPr>
    </xdr:pic>
    <xdr:clientData/>
  </xdr:twoCellAnchor>
  <xdr:twoCellAnchor editAs="oneCell">
    <xdr:from>
      <xdr:col>1</xdr:col>
      <xdr:colOff>156883</xdr:colOff>
      <xdr:row>0</xdr:row>
      <xdr:rowOff>156883</xdr:rowOff>
    </xdr:from>
    <xdr:to>
      <xdr:col>1</xdr:col>
      <xdr:colOff>1110848</xdr:colOff>
      <xdr:row>5</xdr:row>
      <xdr:rowOff>137833</xdr:rowOff>
    </xdr:to>
    <xdr:pic>
      <xdr:nvPicPr>
        <xdr:cNvPr id="6" name="Picture 5">
          <a:extLst>
            <a:ext uri="{FF2B5EF4-FFF2-40B4-BE49-F238E27FC236}">
              <a16:creationId xmlns:a16="http://schemas.microsoft.com/office/drawing/2014/main" id="{9F9C37BB-C9FC-4D5F-A2BB-FFDD6DB168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7030" y="156883"/>
          <a:ext cx="953965" cy="9782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1133475</xdr:colOff>
      <xdr:row>5</xdr:row>
      <xdr:rowOff>100436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57275" cy="929111"/>
        </a:xfrm>
        <a:prstGeom prst="rect">
          <a:avLst/>
        </a:prstGeom>
      </xdr:spPr>
    </xdr:pic>
    <xdr:clientData/>
  </xdr:twoCellAnchor>
  <xdr:twoCellAnchor editAs="oneCell">
    <xdr:from>
      <xdr:col>38</xdr:col>
      <xdr:colOff>342901</xdr:colOff>
      <xdr:row>0</xdr:row>
      <xdr:rowOff>3441</xdr:rowOff>
    </xdr:from>
    <xdr:to>
      <xdr:col>39</xdr:col>
      <xdr:colOff>477288</xdr:colOff>
      <xdr:row>2</xdr:row>
      <xdr:rowOff>111578</xdr:rowOff>
    </xdr:to>
    <xdr:pic>
      <xdr:nvPicPr>
        <xdr:cNvPr id="4" name="Picture 3">
          <a:extLst>
            <a:ext uri="{FF2B5EF4-FFF2-40B4-BE49-F238E27FC236}">
              <a16:creationId xmlns:a16="http://schemas.microsoft.com/office/drawing/2014/main" id="{B0DA434D-E56C-4031-AF87-BBFA6F8217B7}"/>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1906251" y="3441"/>
          <a:ext cx="743987" cy="603437"/>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1171575</xdr:colOff>
      <xdr:row>5</xdr:row>
      <xdr:rowOff>148061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95375" cy="1024361"/>
        </a:xfrm>
        <a:prstGeom prst="rect">
          <a:avLst/>
        </a:prstGeom>
      </xdr:spPr>
    </xdr:pic>
    <xdr:clientData/>
  </xdr:twoCellAnchor>
  <xdr:twoCellAnchor editAs="oneCell">
    <xdr:from>
      <xdr:col>38</xdr:col>
      <xdr:colOff>342901</xdr:colOff>
      <xdr:row>0</xdr:row>
      <xdr:rowOff>3441</xdr:rowOff>
    </xdr:from>
    <xdr:to>
      <xdr:col>39</xdr:col>
      <xdr:colOff>477287</xdr:colOff>
      <xdr:row>2</xdr:row>
      <xdr:rowOff>111578</xdr:rowOff>
    </xdr:to>
    <xdr:pic>
      <xdr:nvPicPr>
        <xdr:cNvPr id="5" name="Picture 4">
          <a:extLst>
            <a:ext uri="{FF2B5EF4-FFF2-40B4-BE49-F238E27FC236}">
              <a16:creationId xmlns:a16="http://schemas.microsoft.com/office/drawing/2014/main" id="{3BA3974C-5868-445F-AFF2-31ABBDA5CB84}"/>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1887201" y="3441"/>
          <a:ext cx="743987" cy="60343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1104899</xdr:colOff>
      <xdr:row>5</xdr:row>
      <xdr:rowOff>89453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28699" cy="965753"/>
        </a:xfrm>
        <a:prstGeom prst="rect">
          <a:avLst/>
        </a:prstGeom>
      </xdr:spPr>
    </xdr:pic>
    <xdr:clientData/>
  </xdr:twoCellAnchor>
  <xdr:twoCellAnchor editAs="oneCell">
    <xdr:from>
      <xdr:col>39</xdr:col>
      <xdr:colOff>342901</xdr:colOff>
      <xdr:row>0</xdr:row>
      <xdr:rowOff>3441</xdr:rowOff>
    </xdr:from>
    <xdr:to>
      <xdr:col>40</xdr:col>
      <xdr:colOff>475606</xdr:colOff>
      <xdr:row>2</xdr:row>
      <xdr:rowOff>111578</xdr:rowOff>
    </xdr:to>
    <xdr:pic>
      <xdr:nvPicPr>
        <xdr:cNvPr id="5" name="Picture 4">
          <a:extLst>
            <a:ext uri="{FF2B5EF4-FFF2-40B4-BE49-F238E27FC236}">
              <a16:creationId xmlns:a16="http://schemas.microsoft.com/office/drawing/2014/main" id="{552A8D47-B30F-4759-A67C-E013D565EAA7}"/>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1887201" y="3441"/>
          <a:ext cx="743986" cy="603437"/>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1104899</xdr:colOff>
      <xdr:row>5</xdr:row>
      <xdr:rowOff>137078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28699" cy="965753"/>
        </a:xfrm>
        <a:prstGeom prst="rect">
          <a:avLst/>
        </a:prstGeom>
      </xdr:spPr>
    </xdr:pic>
    <xdr:clientData/>
  </xdr:twoCellAnchor>
  <xdr:twoCellAnchor editAs="oneCell">
    <xdr:from>
      <xdr:col>1</xdr:col>
      <xdr:colOff>76200</xdr:colOff>
      <xdr:row>0</xdr:row>
      <xdr:rowOff>123825</xdr:rowOff>
    </xdr:from>
    <xdr:to>
      <xdr:col>1</xdr:col>
      <xdr:colOff>1104899</xdr:colOff>
      <xdr:row>5</xdr:row>
      <xdr:rowOff>89453</xdr:rowOff>
    </xdr:to>
    <xdr:pic>
      <xdr:nvPicPr>
        <xdr:cNvPr id="4" name="Picture 3">
          <a:extLst>
            <a:ext uri="{FF2B5EF4-FFF2-40B4-BE49-F238E27FC236}">
              <a16:creationId xmlns:a16="http://schemas.microsoft.com/office/drawing/2014/main" id="{E201E413-A1BB-4AAA-9839-C8DF97380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28699" cy="965753"/>
        </a:xfrm>
        <a:prstGeom prst="rect">
          <a:avLst/>
        </a:prstGeom>
      </xdr:spPr>
    </xdr:pic>
    <xdr:clientData/>
  </xdr:twoCellAnchor>
  <xdr:twoCellAnchor editAs="oneCell">
    <xdr:from>
      <xdr:col>39</xdr:col>
      <xdr:colOff>342901</xdr:colOff>
      <xdr:row>0</xdr:row>
      <xdr:rowOff>3441</xdr:rowOff>
    </xdr:from>
    <xdr:to>
      <xdr:col>40</xdr:col>
      <xdr:colOff>475605</xdr:colOff>
      <xdr:row>2</xdr:row>
      <xdr:rowOff>111578</xdr:rowOff>
    </xdr:to>
    <xdr:pic>
      <xdr:nvPicPr>
        <xdr:cNvPr id="5" name="Picture 4">
          <a:extLst>
            <a:ext uri="{FF2B5EF4-FFF2-40B4-BE49-F238E27FC236}">
              <a16:creationId xmlns:a16="http://schemas.microsoft.com/office/drawing/2014/main" id="{F079B2F1-BB35-4737-BC64-56D953B19046}"/>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2306301" y="3441"/>
          <a:ext cx="742305" cy="603437"/>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76200</xdr:colOff>
      <xdr:row>0</xdr:row>
      <xdr:rowOff>123826</xdr:rowOff>
    </xdr:from>
    <xdr:to>
      <xdr:col>1</xdr:col>
      <xdr:colOff>1142999</xdr:colOff>
      <xdr:row>5</xdr:row>
      <xdr:rowOff>171451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6"/>
          <a:ext cx="1066799" cy="1047750"/>
        </a:xfrm>
        <a:prstGeom prst="rect">
          <a:avLst/>
        </a:prstGeom>
      </xdr:spPr>
    </xdr:pic>
    <xdr:clientData/>
  </xdr:twoCellAnchor>
  <xdr:twoCellAnchor editAs="oneCell">
    <xdr:from>
      <xdr:col>1</xdr:col>
      <xdr:colOff>76200</xdr:colOff>
      <xdr:row>0</xdr:row>
      <xdr:rowOff>123825</xdr:rowOff>
    </xdr:from>
    <xdr:to>
      <xdr:col>1</xdr:col>
      <xdr:colOff>1104899</xdr:colOff>
      <xdr:row>5</xdr:row>
      <xdr:rowOff>137078</xdr:rowOff>
    </xdr:to>
    <xdr:pic>
      <xdr:nvPicPr>
        <xdr:cNvPr id="4" name="Picture 3">
          <a:extLst>
            <a:ext uri="{FF2B5EF4-FFF2-40B4-BE49-F238E27FC236}">
              <a16:creationId xmlns:a16="http://schemas.microsoft.com/office/drawing/2014/main" id="{DD124222-AE8B-4730-B02F-7E9FAE2F82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28699" cy="1013378"/>
        </a:xfrm>
        <a:prstGeom prst="rect">
          <a:avLst/>
        </a:prstGeom>
      </xdr:spPr>
    </xdr:pic>
    <xdr:clientData/>
  </xdr:twoCellAnchor>
  <xdr:twoCellAnchor editAs="oneCell">
    <xdr:from>
      <xdr:col>39</xdr:col>
      <xdr:colOff>44823</xdr:colOff>
      <xdr:row>0</xdr:row>
      <xdr:rowOff>33617</xdr:rowOff>
    </xdr:from>
    <xdr:to>
      <xdr:col>40</xdr:col>
      <xdr:colOff>177527</xdr:colOff>
      <xdr:row>2</xdr:row>
      <xdr:rowOff>141754</xdr:rowOff>
    </xdr:to>
    <xdr:pic>
      <xdr:nvPicPr>
        <xdr:cNvPr id="8" name="Picture 7">
          <a:extLst>
            <a:ext uri="{FF2B5EF4-FFF2-40B4-BE49-F238E27FC236}">
              <a16:creationId xmlns:a16="http://schemas.microsoft.com/office/drawing/2014/main" id="{FF8242D6-8E5F-4A65-8473-C46E888567DA}"/>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2046323" y="33617"/>
          <a:ext cx="737822" cy="601196"/>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76201</xdr:colOff>
      <xdr:row>0</xdr:row>
      <xdr:rowOff>123825</xdr:rowOff>
    </xdr:from>
    <xdr:to>
      <xdr:col>1</xdr:col>
      <xdr:colOff>1095375</xdr:colOff>
      <xdr:row>5</xdr:row>
      <xdr:rowOff>171450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6" y="123825"/>
          <a:ext cx="1019174" cy="1047750"/>
        </a:xfrm>
        <a:prstGeom prst="rect">
          <a:avLst/>
        </a:prstGeom>
      </xdr:spPr>
    </xdr:pic>
    <xdr:clientData/>
  </xdr:twoCellAnchor>
  <xdr:twoCellAnchor editAs="oneCell">
    <xdr:from>
      <xdr:col>1</xdr:col>
      <xdr:colOff>76200</xdr:colOff>
      <xdr:row>0</xdr:row>
      <xdr:rowOff>123826</xdr:rowOff>
    </xdr:from>
    <xdr:to>
      <xdr:col>1</xdr:col>
      <xdr:colOff>1142999</xdr:colOff>
      <xdr:row>5</xdr:row>
      <xdr:rowOff>171451</xdr:rowOff>
    </xdr:to>
    <xdr:pic>
      <xdr:nvPicPr>
        <xdr:cNvPr id="4" name="Picture 3">
          <a:extLst>
            <a:ext uri="{FF2B5EF4-FFF2-40B4-BE49-F238E27FC236}">
              <a16:creationId xmlns:a16="http://schemas.microsoft.com/office/drawing/2014/main" id="{31424A37-ADFF-4EFD-92E1-672438ACB0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6"/>
          <a:ext cx="1066799" cy="1047750"/>
        </a:xfrm>
        <a:prstGeom prst="rect">
          <a:avLst/>
        </a:prstGeom>
      </xdr:spPr>
    </xdr:pic>
    <xdr:clientData/>
  </xdr:twoCellAnchor>
  <xdr:twoCellAnchor editAs="oneCell">
    <xdr:from>
      <xdr:col>1</xdr:col>
      <xdr:colOff>76200</xdr:colOff>
      <xdr:row>0</xdr:row>
      <xdr:rowOff>123825</xdr:rowOff>
    </xdr:from>
    <xdr:to>
      <xdr:col>1</xdr:col>
      <xdr:colOff>1104899</xdr:colOff>
      <xdr:row>5</xdr:row>
      <xdr:rowOff>137078</xdr:rowOff>
    </xdr:to>
    <xdr:pic>
      <xdr:nvPicPr>
        <xdr:cNvPr id="5" name="Picture 4">
          <a:extLst>
            <a:ext uri="{FF2B5EF4-FFF2-40B4-BE49-F238E27FC236}">
              <a16:creationId xmlns:a16="http://schemas.microsoft.com/office/drawing/2014/main" id="{3C25C9CF-B4A4-48B6-8409-4D66CE776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28699" cy="1013378"/>
        </a:xfrm>
        <a:prstGeom prst="rect">
          <a:avLst/>
        </a:prstGeom>
      </xdr:spPr>
    </xdr:pic>
    <xdr:clientData/>
  </xdr:twoCellAnchor>
  <xdr:twoCellAnchor editAs="oneCell">
    <xdr:from>
      <xdr:col>39</xdr:col>
      <xdr:colOff>44823</xdr:colOff>
      <xdr:row>0</xdr:row>
      <xdr:rowOff>33617</xdr:rowOff>
    </xdr:from>
    <xdr:to>
      <xdr:col>40</xdr:col>
      <xdr:colOff>177527</xdr:colOff>
      <xdr:row>2</xdr:row>
      <xdr:rowOff>141754</xdr:rowOff>
    </xdr:to>
    <xdr:pic>
      <xdr:nvPicPr>
        <xdr:cNvPr id="6" name="Picture 5">
          <a:extLst>
            <a:ext uri="{FF2B5EF4-FFF2-40B4-BE49-F238E27FC236}">
              <a16:creationId xmlns:a16="http://schemas.microsoft.com/office/drawing/2014/main" id="{A5314819-DA31-4069-92FA-31958354C0E8}"/>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2008223" y="33617"/>
          <a:ext cx="742304" cy="603437"/>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76199</xdr:colOff>
      <xdr:row>0</xdr:row>
      <xdr:rowOff>123825</xdr:rowOff>
    </xdr:from>
    <xdr:to>
      <xdr:col>1</xdr:col>
      <xdr:colOff>1038224</xdr:colOff>
      <xdr:row>5</xdr:row>
      <xdr:rowOff>55127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123825"/>
          <a:ext cx="962025" cy="931427"/>
        </a:xfrm>
        <a:prstGeom prst="rect">
          <a:avLst/>
        </a:prstGeom>
      </xdr:spPr>
    </xdr:pic>
    <xdr:clientData/>
  </xdr:twoCellAnchor>
  <xdr:twoCellAnchor editAs="oneCell">
    <xdr:from>
      <xdr:col>1</xdr:col>
      <xdr:colOff>76201</xdr:colOff>
      <xdr:row>0</xdr:row>
      <xdr:rowOff>123825</xdr:rowOff>
    </xdr:from>
    <xdr:to>
      <xdr:col>1</xdr:col>
      <xdr:colOff>1095375</xdr:colOff>
      <xdr:row>5</xdr:row>
      <xdr:rowOff>171450</xdr:rowOff>
    </xdr:to>
    <xdr:pic>
      <xdr:nvPicPr>
        <xdr:cNvPr id="4" name="Picture 3">
          <a:extLst>
            <a:ext uri="{FF2B5EF4-FFF2-40B4-BE49-F238E27FC236}">
              <a16:creationId xmlns:a16="http://schemas.microsoft.com/office/drawing/2014/main" id="{D77EFD99-35F7-4A7B-8752-165EDD0A2D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6" y="123825"/>
          <a:ext cx="1019174" cy="1047750"/>
        </a:xfrm>
        <a:prstGeom prst="rect">
          <a:avLst/>
        </a:prstGeom>
      </xdr:spPr>
    </xdr:pic>
    <xdr:clientData/>
  </xdr:twoCellAnchor>
  <xdr:twoCellAnchor editAs="oneCell">
    <xdr:from>
      <xdr:col>1</xdr:col>
      <xdr:colOff>76200</xdr:colOff>
      <xdr:row>0</xdr:row>
      <xdr:rowOff>123826</xdr:rowOff>
    </xdr:from>
    <xdr:to>
      <xdr:col>1</xdr:col>
      <xdr:colOff>1142999</xdr:colOff>
      <xdr:row>5</xdr:row>
      <xdr:rowOff>171451</xdr:rowOff>
    </xdr:to>
    <xdr:pic>
      <xdr:nvPicPr>
        <xdr:cNvPr id="5" name="Picture 4">
          <a:extLst>
            <a:ext uri="{FF2B5EF4-FFF2-40B4-BE49-F238E27FC236}">
              <a16:creationId xmlns:a16="http://schemas.microsoft.com/office/drawing/2014/main" id="{3C3D4899-5195-4373-8C49-C0F869BF6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6"/>
          <a:ext cx="1066799" cy="1047750"/>
        </a:xfrm>
        <a:prstGeom prst="rect">
          <a:avLst/>
        </a:prstGeom>
      </xdr:spPr>
    </xdr:pic>
    <xdr:clientData/>
  </xdr:twoCellAnchor>
  <xdr:twoCellAnchor editAs="oneCell">
    <xdr:from>
      <xdr:col>39</xdr:col>
      <xdr:colOff>44823</xdr:colOff>
      <xdr:row>0</xdr:row>
      <xdr:rowOff>33617</xdr:rowOff>
    </xdr:from>
    <xdr:to>
      <xdr:col>40</xdr:col>
      <xdr:colOff>180328</xdr:colOff>
      <xdr:row>2</xdr:row>
      <xdr:rowOff>141754</xdr:rowOff>
    </xdr:to>
    <xdr:pic>
      <xdr:nvPicPr>
        <xdr:cNvPr id="7" name="Picture 6">
          <a:extLst>
            <a:ext uri="{FF2B5EF4-FFF2-40B4-BE49-F238E27FC236}">
              <a16:creationId xmlns:a16="http://schemas.microsoft.com/office/drawing/2014/main" id="{DF85348C-80E3-4847-8840-8163E5FE8A82}"/>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2008223" y="33617"/>
          <a:ext cx="742304" cy="603437"/>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76199</xdr:colOff>
      <xdr:row>0</xdr:row>
      <xdr:rowOff>123825</xdr:rowOff>
    </xdr:from>
    <xdr:to>
      <xdr:col>1</xdr:col>
      <xdr:colOff>1057274</xdr:colOff>
      <xdr:row>5</xdr:row>
      <xdr:rowOff>38100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123825"/>
          <a:ext cx="981075" cy="914400"/>
        </a:xfrm>
        <a:prstGeom prst="rect">
          <a:avLst/>
        </a:prstGeom>
      </xdr:spPr>
    </xdr:pic>
    <xdr:clientData/>
  </xdr:twoCellAnchor>
  <xdr:twoCellAnchor editAs="oneCell">
    <xdr:from>
      <xdr:col>1</xdr:col>
      <xdr:colOff>76200</xdr:colOff>
      <xdr:row>0</xdr:row>
      <xdr:rowOff>123825</xdr:rowOff>
    </xdr:from>
    <xdr:to>
      <xdr:col>1</xdr:col>
      <xdr:colOff>1171575</xdr:colOff>
      <xdr:row>5</xdr:row>
      <xdr:rowOff>148061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123825"/>
          <a:ext cx="1095375" cy="1024361"/>
        </a:xfrm>
        <a:prstGeom prst="rect">
          <a:avLst/>
        </a:prstGeom>
      </xdr:spPr>
    </xdr:pic>
    <xdr:clientData/>
  </xdr:twoCellAnchor>
  <xdr:twoCellAnchor editAs="oneCell">
    <xdr:from>
      <xdr:col>1</xdr:col>
      <xdr:colOff>76199</xdr:colOff>
      <xdr:row>0</xdr:row>
      <xdr:rowOff>123825</xdr:rowOff>
    </xdr:from>
    <xdr:to>
      <xdr:col>1</xdr:col>
      <xdr:colOff>1038224</xdr:colOff>
      <xdr:row>5</xdr:row>
      <xdr:rowOff>55127</xdr:rowOff>
    </xdr:to>
    <xdr:pic>
      <xdr:nvPicPr>
        <xdr:cNvPr id="6" name="Picture 5">
          <a:extLst>
            <a:ext uri="{FF2B5EF4-FFF2-40B4-BE49-F238E27FC236}">
              <a16:creationId xmlns:a16="http://schemas.microsoft.com/office/drawing/2014/main" id="{54FB99AB-116A-4A6F-91E2-30A4885B57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4" y="123825"/>
          <a:ext cx="962025" cy="931427"/>
        </a:xfrm>
        <a:prstGeom prst="rect">
          <a:avLst/>
        </a:prstGeom>
      </xdr:spPr>
    </xdr:pic>
    <xdr:clientData/>
  </xdr:twoCellAnchor>
  <xdr:twoCellAnchor editAs="oneCell">
    <xdr:from>
      <xdr:col>1</xdr:col>
      <xdr:colOff>76201</xdr:colOff>
      <xdr:row>0</xdr:row>
      <xdr:rowOff>123825</xdr:rowOff>
    </xdr:from>
    <xdr:to>
      <xdr:col>1</xdr:col>
      <xdr:colOff>1095375</xdr:colOff>
      <xdr:row>5</xdr:row>
      <xdr:rowOff>171450</xdr:rowOff>
    </xdr:to>
    <xdr:pic>
      <xdr:nvPicPr>
        <xdr:cNvPr id="7" name="Picture 6">
          <a:extLst>
            <a:ext uri="{FF2B5EF4-FFF2-40B4-BE49-F238E27FC236}">
              <a16:creationId xmlns:a16="http://schemas.microsoft.com/office/drawing/2014/main" id="{E7C1CBD4-E9F9-4D5B-9F23-4EC9609FD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6" y="123825"/>
          <a:ext cx="1019174" cy="1047750"/>
        </a:xfrm>
        <a:prstGeom prst="rect">
          <a:avLst/>
        </a:prstGeom>
      </xdr:spPr>
    </xdr:pic>
    <xdr:clientData/>
  </xdr:twoCellAnchor>
  <xdr:twoCellAnchor editAs="oneCell">
    <xdr:from>
      <xdr:col>39</xdr:col>
      <xdr:colOff>44823</xdr:colOff>
      <xdr:row>0</xdr:row>
      <xdr:rowOff>33617</xdr:rowOff>
    </xdr:from>
    <xdr:to>
      <xdr:col>40</xdr:col>
      <xdr:colOff>180328</xdr:colOff>
      <xdr:row>2</xdr:row>
      <xdr:rowOff>141754</xdr:rowOff>
    </xdr:to>
    <xdr:pic>
      <xdr:nvPicPr>
        <xdr:cNvPr id="9" name="Picture 8">
          <a:extLst>
            <a:ext uri="{FF2B5EF4-FFF2-40B4-BE49-F238E27FC236}">
              <a16:creationId xmlns:a16="http://schemas.microsoft.com/office/drawing/2014/main" id="{6CD33546-9EE2-4156-BAD3-F6C423F4B8D2}"/>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2008223" y="33617"/>
          <a:ext cx="745105" cy="60343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C9"/>
  <sheetViews>
    <sheetView zoomScale="115" zoomScaleNormal="115" workbookViewId="0">
      <selection activeCell="C7" sqref="C7"/>
    </sheetView>
  </sheetViews>
  <sheetFormatPr defaultRowHeight="15"/>
  <cols>
    <col min="2" max="2" width="3.85546875" customWidth="1"/>
    <col min="3" max="3" width="80.140625" customWidth="1"/>
  </cols>
  <sheetData>
    <row r="2" spans="2:3" ht="15.75" thickBot="1"/>
    <row r="3" spans="2:3">
      <c r="B3" s="17"/>
      <c r="C3" s="18"/>
    </row>
    <row r="4" spans="2:3" ht="15" customHeight="1">
      <c r="B4" s="86" t="s">
        <v>107</v>
      </c>
      <c r="C4" s="20" t="s">
        <v>100</v>
      </c>
    </row>
    <row r="5" spans="2:3" ht="16.5">
      <c r="B5" s="86" t="s">
        <v>86</v>
      </c>
      <c r="C5" s="20" t="s">
        <v>87</v>
      </c>
    </row>
    <row r="6" spans="2:3" ht="16.5">
      <c r="B6" s="86" t="s">
        <v>102</v>
      </c>
      <c r="C6" s="20" t="s">
        <v>103</v>
      </c>
    </row>
    <row r="7" spans="2:3" ht="16.5">
      <c r="B7" s="19"/>
      <c r="C7" s="20" t="s">
        <v>88</v>
      </c>
    </row>
    <row r="8" spans="2:3" ht="16.5">
      <c r="B8" s="19"/>
      <c r="C8" s="20" t="s">
        <v>89</v>
      </c>
    </row>
    <row r="9" spans="2:3" ht="17.25" thickBot="1">
      <c r="B9" s="7"/>
      <c r="C9" s="25"/>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F015-B63E-4CCA-BF67-377239676792}">
  <dimension ref="A2:AX97"/>
  <sheetViews>
    <sheetView tabSelected="1" topLeftCell="A13" zoomScale="85" zoomScaleNormal="85" workbookViewId="0">
      <selection activeCell="R28" sqref="R28"/>
    </sheetView>
  </sheetViews>
  <sheetFormatPr defaultRowHeight="15"/>
  <cols>
    <col min="1" max="1" width="4.140625" customWidth="1"/>
    <col min="2" max="2" width="33.1406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4" width="3.85546875" customWidth="1"/>
    <col min="35" max="35" width="4" customWidth="1"/>
    <col min="36" max="36" width="9.5703125" customWidth="1"/>
    <col min="37" max="37" width="7.7109375" customWidth="1"/>
    <col min="38" max="38" width="5.5703125" customWidth="1"/>
  </cols>
  <sheetData>
    <row r="2" spans="1:50"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6"/>
      <c r="AQ2" s="6"/>
      <c r="AR2" s="6"/>
      <c r="AS2" s="6"/>
      <c r="AT2" s="6"/>
      <c r="AU2" s="6"/>
      <c r="AV2" s="6"/>
      <c r="AW2" s="6"/>
      <c r="AX2" s="6"/>
    </row>
    <row r="4" spans="1:50">
      <c r="B4" s="5" t="s">
        <v>37</v>
      </c>
      <c r="C4" s="166" t="s">
        <v>38</v>
      </c>
      <c r="D4" s="167"/>
      <c r="E4" s="167"/>
      <c r="F4" s="167"/>
      <c r="G4" s="167"/>
      <c r="H4" s="167"/>
      <c r="I4" s="167"/>
      <c r="J4" s="167"/>
      <c r="K4" s="167"/>
      <c r="L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8"/>
      <c r="AK4" s="170" t="s">
        <v>42</v>
      </c>
      <c r="AL4" s="171"/>
      <c r="AM4" s="166" t="s">
        <v>43</v>
      </c>
      <c r="AN4" s="167"/>
      <c r="AO4" s="168"/>
    </row>
    <row r="5" spans="1:50" ht="9.9499999999999993" customHeight="1">
      <c r="N5" s="5"/>
      <c r="O5" s="5"/>
      <c r="P5" s="5"/>
      <c r="Q5" s="5"/>
      <c r="R5" s="5"/>
      <c r="AI5" s="5"/>
      <c r="AJ5" s="5"/>
      <c r="AK5" s="5"/>
      <c r="AL5" s="5"/>
      <c r="AM5" s="5"/>
      <c r="AN5" s="5"/>
      <c r="AO5" s="5"/>
    </row>
    <row r="6" spans="1:50">
      <c r="B6" s="5" t="s">
        <v>40</v>
      </c>
      <c r="C6" s="166" t="s">
        <v>39</v>
      </c>
      <c r="D6" s="167"/>
      <c r="E6" s="167"/>
      <c r="F6" s="167"/>
      <c r="G6" s="167"/>
      <c r="H6" s="167"/>
      <c r="I6" s="167"/>
      <c r="J6" s="167"/>
      <c r="K6" s="167"/>
      <c r="L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170" t="s">
        <v>44</v>
      </c>
      <c r="AJ6" s="170"/>
      <c r="AK6" s="166" t="s">
        <v>111</v>
      </c>
      <c r="AL6" s="167"/>
      <c r="AM6" s="167"/>
      <c r="AN6" s="167"/>
      <c r="AO6" s="168"/>
    </row>
    <row r="7" spans="1:50" ht="9.9499999999999993" customHeight="1">
      <c r="N7" s="5"/>
      <c r="O7" s="5"/>
      <c r="P7" s="5"/>
      <c r="Q7" s="5"/>
      <c r="R7" s="5"/>
      <c r="AI7" s="5"/>
      <c r="AJ7" s="5"/>
      <c r="AK7" s="5"/>
      <c r="AL7" s="5"/>
      <c r="AM7" s="5"/>
      <c r="AN7" s="5"/>
      <c r="AO7" s="5"/>
    </row>
    <row r="8" spans="1:50">
      <c r="B8" s="5" t="s">
        <v>41</v>
      </c>
      <c r="C8" s="166" t="s">
        <v>110</v>
      </c>
      <c r="D8" s="167"/>
      <c r="E8" s="167"/>
      <c r="F8" s="167"/>
      <c r="G8" s="167"/>
      <c r="H8" s="167"/>
      <c r="I8" s="167"/>
      <c r="J8" s="167"/>
      <c r="K8" s="167"/>
      <c r="L8" s="168"/>
      <c r="M8" s="169" t="s">
        <v>49</v>
      </c>
      <c r="N8" s="170"/>
      <c r="O8" s="170"/>
      <c r="P8" s="170"/>
      <c r="Q8" s="170"/>
      <c r="R8" s="171"/>
      <c r="S8" s="172"/>
      <c r="T8" s="151"/>
      <c r="U8" s="151"/>
      <c r="V8" s="151"/>
      <c r="W8" s="151"/>
      <c r="X8" s="151"/>
      <c r="Y8" s="151"/>
      <c r="Z8" s="151"/>
      <c r="AA8" s="151"/>
      <c r="AB8" s="151"/>
      <c r="AC8" s="151"/>
      <c r="AD8" s="151"/>
      <c r="AE8" s="151"/>
      <c r="AF8" s="151"/>
      <c r="AG8" s="151"/>
      <c r="AH8" s="151"/>
      <c r="AI8" s="173"/>
      <c r="AJ8" s="26"/>
      <c r="AK8" s="166" t="s">
        <v>112</v>
      </c>
      <c r="AL8" s="167"/>
      <c r="AM8" s="167"/>
      <c r="AN8" s="167"/>
      <c r="AO8" s="168"/>
    </row>
    <row r="9" spans="1:50" ht="15.75" thickBot="1"/>
    <row r="10" spans="1:50" ht="13.5" customHeight="1">
      <c r="A10" s="174" t="s">
        <v>0</v>
      </c>
      <c r="B10" s="177" t="s">
        <v>1</v>
      </c>
      <c r="C10" s="179" t="s">
        <v>30</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81" t="s">
        <v>11</v>
      </c>
      <c r="AK10" s="149"/>
      <c r="AL10" s="186" t="s">
        <v>29</v>
      </c>
      <c r="AM10" s="187"/>
      <c r="AN10" s="187"/>
      <c r="AO10" s="188"/>
    </row>
    <row r="11" spans="1:50" ht="25.5" customHeight="1" thickBot="1">
      <c r="A11" s="175"/>
      <c r="B11" s="178"/>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2"/>
      <c r="AK11" s="183"/>
      <c r="AL11" s="158" t="s">
        <v>31</v>
      </c>
      <c r="AM11" s="159"/>
      <c r="AN11" s="159"/>
      <c r="AO11" s="160"/>
    </row>
    <row r="12" spans="1:50" ht="25.5" customHeight="1" thickBot="1">
      <c r="A12" s="175"/>
      <c r="B12" s="161" t="s">
        <v>2</v>
      </c>
      <c r="C12" s="60">
        <v>1</v>
      </c>
      <c r="D12" s="61">
        <v>2</v>
      </c>
      <c r="E12" s="61">
        <v>3</v>
      </c>
      <c r="F12" s="61">
        <v>4</v>
      </c>
      <c r="G12" s="61">
        <v>5</v>
      </c>
      <c r="H12" s="61">
        <v>6</v>
      </c>
      <c r="I12" s="62"/>
      <c r="J12" s="61">
        <v>8</v>
      </c>
      <c r="K12" s="61">
        <v>9</v>
      </c>
      <c r="L12" s="61">
        <v>10</v>
      </c>
      <c r="M12" s="61">
        <v>11</v>
      </c>
      <c r="N12" s="61">
        <v>12</v>
      </c>
      <c r="O12" s="61">
        <v>13</v>
      </c>
      <c r="P12" s="63"/>
      <c r="Q12" s="61">
        <v>15</v>
      </c>
      <c r="R12" s="61">
        <v>16</v>
      </c>
      <c r="S12" s="61">
        <v>17</v>
      </c>
      <c r="T12" s="61">
        <v>18</v>
      </c>
      <c r="U12" s="61">
        <v>19</v>
      </c>
      <c r="V12" s="61">
        <v>20</v>
      </c>
      <c r="W12" s="63"/>
      <c r="X12" s="61">
        <v>22</v>
      </c>
      <c r="Y12" s="61">
        <v>23</v>
      </c>
      <c r="Z12" s="61">
        <v>24</v>
      </c>
      <c r="AA12" s="61">
        <v>25</v>
      </c>
      <c r="AB12" s="61">
        <v>26</v>
      </c>
      <c r="AC12" s="61">
        <v>27</v>
      </c>
      <c r="AD12" s="63"/>
      <c r="AE12" s="61">
        <v>29</v>
      </c>
      <c r="AF12" s="61">
        <v>30</v>
      </c>
      <c r="AG12" s="61"/>
      <c r="AH12" s="61"/>
      <c r="AI12" s="89"/>
      <c r="AJ12" s="184"/>
      <c r="AK12" s="185"/>
      <c r="AL12" s="158" t="s">
        <v>32</v>
      </c>
      <c r="AM12" s="159"/>
      <c r="AN12" s="159"/>
      <c r="AO12" s="160"/>
    </row>
    <row r="13" spans="1:50" ht="27" customHeight="1" thickBot="1">
      <c r="A13" s="176"/>
      <c r="B13" s="162"/>
      <c r="C13" s="65" t="s">
        <v>3</v>
      </c>
      <c r="D13" s="66"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90" t="s">
        <v>7</v>
      </c>
      <c r="AJ13" s="72" t="s">
        <v>9</v>
      </c>
      <c r="AK13" s="73" t="s">
        <v>10</v>
      </c>
      <c r="AL13" s="163" t="s">
        <v>33</v>
      </c>
      <c r="AM13" s="164"/>
      <c r="AN13" s="164"/>
      <c r="AO13" s="165"/>
    </row>
    <row r="14" spans="1:50" ht="14.1" customHeight="1">
      <c r="A14" s="49">
        <v>1</v>
      </c>
      <c r="B14" s="51"/>
      <c r="C14" s="85"/>
      <c r="D14" s="85"/>
      <c r="E14" s="43"/>
      <c r="F14" s="43"/>
      <c r="G14" s="43"/>
      <c r="H14" s="43"/>
      <c r="I14" s="22"/>
      <c r="J14" s="43"/>
      <c r="K14" s="43"/>
      <c r="L14" s="43"/>
      <c r="M14" s="43"/>
      <c r="N14" s="97" t="s">
        <v>113</v>
      </c>
      <c r="O14" s="43"/>
      <c r="P14" s="22"/>
      <c r="Q14" s="43"/>
      <c r="R14" s="43"/>
      <c r="S14" s="85"/>
      <c r="T14" s="85"/>
      <c r="U14" s="43"/>
      <c r="V14" s="43"/>
      <c r="W14" s="22"/>
      <c r="X14" s="43"/>
      <c r="Y14" s="43"/>
      <c r="Z14" s="43"/>
      <c r="AA14" s="43"/>
      <c r="AB14" s="43"/>
      <c r="AC14" s="43"/>
      <c r="AD14" s="22"/>
      <c r="AE14" s="43"/>
      <c r="AF14" s="43"/>
      <c r="AG14" s="43"/>
      <c r="AH14" s="43"/>
      <c r="AI14" s="43"/>
      <c r="AJ14" s="46">
        <f>COUNTIF(C14:AH14,"X")</f>
        <v>0</v>
      </c>
      <c r="AK14" s="46">
        <f>COUNTIF(C14:AH14,"T")</f>
        <v>0</v>
      </c>
      <c r="AL14" s="153"/>
      <c r="AM14" s="154"/>
      <c r="AN14" s="154"/>
      <c r="AO14" s="155"/>
    </row>
    <row r="15" spans="1:50" ht="14.1" customHeight="1">
      <c r="A15" s="42">
        <v>2</v>
      </c>
      <c r="B15" s="52"/>
      <c r="C15" s="85"/>
      <c r="D15" s="85"/>
      <c r="E15" s="43"/>
      <c r="F15" s="43"/>
      <c r="G15" s="43"/>
      <c r="H15" s="43"/>
      <c r="I15" s="23"/>
      <c r="J15" s="43"/>
      <c r="K15" s="43"/>
      <c r="L15" s="43"/>
      <c r="M15" s="43"/>
      <c r="N15" s="98"/>
      <c r="O15" s="43"/>
      <c r="P15" s="23"/>
      <c r="Q15" s="43"/>
      <c r="R15" s="43"/>
      <c r="S15" s="43"/>
      <c r="T15" s="43"/>
      <c r="U15" s="43"/>
      <c r="V15" s="43"/>
      <c r="W15" s="22"/>
      <c r="X15" s="43"/>
      <c r="Y15" s="43"/>
      <c r="Z15" s="43"/>
      <c r="AA15" s="43"/>
      <c r="AB15" s="43"/>
      <c r="AC15" s="43"/>
      <c r="AD15" s="23"/>
      <c r="AE15" s="43"/>
      <c r="AF15" s="43"/>
      <c r="AG15" s="43"/>
      <c r="AH15" s="43"/>
      <c r="AI15" s="43"/>
      <c r="AJ15" s="46">
        <f t="shared" ref="AJ15:AJ27" si="0">COUNTIF(C15:AH15,"X")</f>
        <v>0</v>
      </c>
      <c r="AK15" s="46">
        <f t="shared" ref="AK15:AK27" si="1">COUNTIF(C15:AH15,"T")</f>
        <v>0</v>
      </c>
      <c r="AL15" s="150"/>
      <c r="AM15" s="151"/>
      <c r="AN15" s="151"/>
      <c r="AO15" s="152"/>
    </row>
    <row r="16" spans="1:50" ht="14.1" customHeight="1">
      <c r="A16" s="42">
        <v>3</v>
      </c>
      <c r="B16" s="53"/>
      <c r="C16" s="85"/>
      <c r="D16" s="85"/>
      <c r="E16" s="43"/>
      <c r="F16" s="43"/>
      <c r="G16" s="43"/>
      <c r="H16" s="43"/>
      <c r="I16" s="23"/>
      <c r="J16" s="43"/>
      <c r="K16" s="43"/>
      <c r="L16" s="43"/>
      <c r="M16" s="43"/>
      <c r="N16" s="98"/>
      <c r="O16" s="43"/>
      <c r="P16" s="23"/>
      <c r="Q16" s="43"/>
      <c r="R16" s="43"/>
      <c r="S16" s="43"/>
      <c r="T16" s="43"/>
      <c r="U16" s="43"/>
      <c r="V16" s="43"/>
      <c r="W16" s="22"/>
      <c r="X16" s="43"/>
      <c r="Y16" s="43"/>
      <c r="Z16" s="43"/>
      <c r="AA16" s="43"/>
      <c r="AB16" s="43"/>
      <c r="AC16" s="43"/>
      <c r="AD16" s="23"/>
      <c r="AE16" s="43"/>
      <c r="AF16" s="43"/>
      <c r="AG16" s="43"/>
      <c r="AH16" s="43"/>
      <c r="AI16" s="43"/>
      <c r="AJ16" s="46">
        <f t="shared" si="0"/>
        <v>0</v>
      </c>
      <c r="AK16" s="46">
        <f t="shared" si="1"/>
        <v>0</v>
      </c>
      <c r="AL16" s="150"/>
      <c r="AM16" s="151"/>
      <c r="AN16" s="151"/>
      <c r="AO16" s="152"/>
    </row>
    <row r="17" spans="1:41" ht="14.1" customHeight="1">
      <c r="A17" s="42">
        <v>4</v>
      </c>
      <c r="B17" s="53"/>
      <c r="C17" s="85"/>
      <c r="D17" s="85"/>
      <c r="E17" s="43"/>
      <c r="F17" s="43"/>
      <c r="G17" s="43"/>
      <c r="H17" s="43"/>
      <c r="I17" s="23"/>
      <c r="J17" s="43"/>
      <c r="K17" s="43"/>
      <c r="L17" s="43"/>
      <c r="M17" s="43"/>
      <c r="N17" s="98"/>
      <c r="O17" s="43"/>
      <c r="P17" s="23"/>
      <c r="Q17" s="43"/>
      <c r="R17" s="43"/>
      <c r="S17" s="43"/>
      <c r="T17" s="43"/>
      <c r="U17" s="43"/>
      <c r="V17" s="43"/>
      <c r="W17" s="22"/>
      <c r="X17" s="43"/>
      <c r="Y17" s="43"/>
      <c r="Z17" s="43"/>
      <c r="AA17" s="43"/>
      <c r="AB17" s="43"/>
      <c r="AC17" s="43"/>
      <c r="AD17" s="23"/>
      <c r="AE17" s="43"/>
      <c r="AF17" s="43"/>
      <c r="AG17" s="43"/>
      <c r="AH17" s="43"/>
      <c r="AI17" s="43"/>
      <c r="AJ17" s="46">
        <f t="shared" si="0"/>
        <v>0</v>
      </c>
      <c r="AK17" s="46">
        <f t="shared" si="1"/>
        <v>0</v>
      </c>
      <c r="AL17" s="150"/>
      <c r="AM17" s="151"/>
      <c r="AN17" s="151"/>
      <c r="AO17" s="152"/>
    </row>
    <row r="18" spans="1:41" ht="14.1" customHeight="1">
      <c r="A18" s="42">
        <v>5</v>
      </c>
      <c r="B18" s="53"/>
      <c r="C18" s="85"/>
      <c r="D18" s="85"/>
      <c r="E18" s="43"/>
      <c r="F18" s="43"/>
      <c r="G18" s="43"/>
      <c r="H18" s="43"/>
      <c r="I18" s="23"/>
      <c r="J18" s="43"/>
      <c r="K18" s="43"/>
      <c r="L18" s="43"/>
      <c r="M18" s="43"/>
      <c r="N18" s="98"/>
      <c r="O18" s="43"/>
      <c r="P18" s="23"/>
      <c r="Q18" s="43"/>
      <c r="R18" s="43"/>
      <c r="S18" s="43"/>
      <c r="T18" s="43"/>
      <c r="U18" s="43"/>
      <c r="V18" s="43"/>
      <c r="W18" s="22"/>
      <c r="X18" s="43"/>
      <c r="Y18" s="43"/>
      <c r="Z18" s="43"/>
      <c r="AA18" s="43"/>
      <c r="AB18" s="43"/>
      <c r="AC18" s="43"/>
      <c r="AD18" s="23"/>
      <c r="AE18" s="43"/>
      <c r="AF18" s="43"/>
      <c r="AG18" s="43"/>
      <c r="AH18" s="43"/>
      <c r="AI18" s="43"/>
      <c r="AJ18" s="46">
        <f t="shared" si="0"/>
        <v>0</v>
      </c>
      <c r="AK18" s="46">
        <f t="shared" si="1"/>
        <v>0</v>
      </c>
      <c r="AL18" s="150"/>
      <c r="AM18" s="151"/>
      <c r="AN18" s="151"/>
      <c r="AO18" s="152"/>
    </row>
    <row r="19" spans="1:41" ht="14.1" customHeight="1">
      <c r="A19" s="42">
        <v>6</v>
      </c>
      <c r="B19" s="53"/>
      <c r="C19" s="85"/>
      <c r="D19" s="85"/>
      <c r="E19" s="43"/>
      <c r="F19" s="43"/>
      <c r="G19" s="43"/>
      <c r="H19" s="43"/>
      <c r="I19" s="23"/>
      <c r="J19" s="43"/>
      <c r="K19" s="43"/>
      <c r="L19" s="43"/>
      <c r="M19" s="43"/>
      <c r="N19" s="98"/>
      <c r="O19" s="43"/>
      <c r="P19" s="23"/>
      <c r="Q19" s="43"/>
      <c r="R19" s="43"/>
      <c r="S19" s="43"/>
      <c r="T19" s="43"/>
      <c r="U19" s="43"/>
      <c r="V19" s="43"/>
      <c r="W19" s="22"/>
      <c r="X19" s="43"/>
      <c r="Y19" s="43"/>
      <c r="Z19" s="43"/>
      <c r="AA19" s="43"/>
      <c r="AB19" s="43"/>
      <c r="AC19" s="43"/>
      <c r="AD19" s="23"/>
      <c r="AE19" s="43"/>
      <c r="AF19" s="43"/>
      <c r="AG19" s="43"/>
      <c r="AH19" s="43"/>
      <c r="AI19" s="43"/>
      <c r="AJ19" s="46">
        <f t="shared" si="0"/>
        <v>0</v>
      </c>
      <c r="AK19" s="46">
        <f t="shared" si="1"/>
        <v>0</v>
      </c>
      <c r="AL19" s="150"/>
      <c r="AM19" s="151"/>
      <c r="AN19" s="151"/>
      <c r="AO19" s="152"/>
    </row>
    <row r="20" spans="1:41" ht="14.1" customHeight="1">
      <c r="A20" s="42">
        <v>7</v>
      </c>
      <c r="B20" s="53"/>
      <c r="C20" s="85"/>
      <c r="D20" s="85"/>
      <c r="E20" s="43"/>
      <c r="F20" s="43"/>
      <c r="G20" s="43"/>
      <c r="H20" s="43"/>
      <c r="I20" s="23"/>
      <c r="J20" s="43"/>
      <c r="K20" s="43"/>
      <c r="L20" s="43"/>
      <c r="M20" s="43"/>
      <c r="N20" s="98"/>
      <c r="O20" s="43"/>
      <c r="P20" s="23"/>
      <c r="Q20" s="43"/>
      <c r="R20" s="43"/>
      <c r="S20" s="43"/>
      <c r="T20" s="43"/>
      <c r="U20" s="43"/>
      <c r="V20" s="43"/>
      <c r="W20" s="22"/>
      <c r="X20" s="43"/>
      <c r="Y20" s="43"/>
      <c r="Z20" s="43"/>
      <c r="AA20" s="43"/>
      <c r="AB20" s="43"/>
      <c r="AC20" s="43"/>
      <c r="AD20" s="23"/>
      <c r="AE20" s="43"/>
      <c r="AF20" s="43"/>
      <c r="AG20" s="43"/>
      <c r="AH20" s="43"/>
      <c r="AI20" s="43"/>
      <c r="AJ20" s="46">
        <f t="shared" si="0"/>
        <v>0</v>
      </c>
      <c r="AK20" s="46">
        <f t="shared" si="1"/>
        <v>0</v>
      </c>
      <c r="AL20" s="150"/>
      <c r="AM20" s="151"/>
      <c r="AN20" s="151"/>
      <c r="AO20" s="152"/>
    </row>
    <row r="21" spans="1:41" ht="14.1" customHeight="1">
      <c r="A21" s="42">
        <v>8</v>
      </c>
      <c r="B21" s="53"/>
      <c r="C21" s="85"/>
      <c r="D21" s="85"/>
      <c r="E21" s="43"/>
      <c r="F21" s="43"/>
      <c r="G21" s="43"/>
      <c r="H21" s="43"/>
      <c r="I21" s="23"/>
      <c r="J21" s="43"/>
      <c r="K21" s="43"/>
      <c r="L21" s="43"/>
      <c r="M21" s="43"/>
      <c r="N21" s="98"/>
      <c r="O21" s="43"/>
      <c r="P21" s="23"/>
      <c r="Q21" s="43"/>
      <c r="R21" s="43"/>
      <c r="S21" s="43"/>
      <c r="T21" s="43"/>
      <c r="U21" s="43"/>
      <c r="V21" s="43"/>
      <c r="W21" s="22"/>
      <c r="X21" s="43"/>
      <c r="Y21" s="43"/>
      <c r="Z21" s="43"/>
      <c r="AA21" s="43"/>
      <c r="AB21" s="43"/>
      <c r="AC21" s="43"/>
      <c r="AD21" s="23"/>
      <c r="AE21" s="43"/>
      <c r="AF21" s="43"/>
      <c r="AG21" s="43"/>
      <c r="AH21" s="43"/>
      <c r="AI21" s="43"/>
      <c r="AJ21" s="46">
        <f t="shared" si="0"/>
        <v>0</v>
      </c>
      <c r="AK21" s="46">
        <f t="shared" si="1"/>
        <v>0</v>
      </c>
      <c r="AL21" s="150"/>
      <c r="AM21" s="151"/>
      <c r="AN21" s="151"/>
      <c r="AO21" s="152"/>
    </row>
    <row r="22" spans="1:41" ht="14.1" customHeight="1">
      <c r="A22" s="42">
        <v>9</v>
      </c>
      <c r="B22" s="52"/>
      <c r="C22" s="28"/>
      <c r="D22" s="43"/>
      <c r="E22" s="43"/>
      <c r="F22" s="43"/>
      <c r="G22" s="43"/>
      <c r="H22" s="43"/>
      <c r="I22" s="23"/>
      <c r="J22" s="43"/>
      <c r="K22" s="43"/>
      <c r="L22" s="43"/>
      <c r="M22" s="43"/>
      <c r="N22" s="98"/>
      <c r="O22" s="43"/>
      <c r="P22" s="23"/>
      <c r="Q22" s="43"/>
      <c r="R22" s="43"/>
      <c r="S22" s="43"/>
      <c r="T22" s="43"/>
      <c r="U22" s="43"/>
      <c r="V22" s="43"/>
      <c r="W22" s="22"/>
      <c r="X22" s="43"/>
      <c r="Y22" s="43"/>
      <c r="Z22" s="43"/>
      <c r="AA22" s="43"/>
      <c r="AB22" s="43"/>
      <c r="AC22" s="43"/>
      <c r="AD22" s="23"/>
      <c r="AE22" s="43"/>
      <c r="AF22" s="43"/>
      <c r="AG22" s="43"/>
      <c r="AH22" s="43"/>
      <c r="AI22" s="43"/>
      <c r="AJ22" s="46">
        <f t="shared" si="0"/>
        <v>0</v>
      </c>
      <c r="AK22" s="46">
        <f t="shared" si="1"/>
        <v>0</v>
      </c>
      <c r="AL22" s="150"/>
      <c r="AM22" s="151"/>
      <c r="AN22" s="151"/>
      <c r="AO22" s="152"/>
    </row>
    <row r="23" spans="1:41" ht="14.1" customHeight="1">
      <c r="A23" s="42">
        <v>10</v>
      </c>
      <c r="B23" s="53"/>
      <c r="C23" s="28"/>
      <c r="D23" s="43"/>
      <c r="E23" s="43"/>
      <c r="F23" s="43"/>
      <c r="G23" s="43"/>
      <c r="H23" s="43"/>
      <c r="I23" s="23"/>
      <c r="J23" s="43"/>
      <c r="K23" s="43"/>
      <c r="L23" s="43"/>
      <c r="M23" s="43"/>
      <c r="N23" s="98"/>
      <c r="O23" s="43"/>
      <c r="P23" s="23"/>
      <c r="Q23" s="43"/>
      <c r="R23" s="43"/>
      <c r="S23" s="43"/>
      <c r="T23" s="43"/>
      <c r="U23" s="43"/>
      <c r="V23" s="43"/>
      <c r="W23" s="22"/>
      <c r="X23" s="43"/>
      <c r="Y23" s="43"/>
      <c r="Z23" s="43"/>
      <c r="AA23" s="43"/>
      <c r="AB23" s="43"/>
      <c r="AC23" s="43"/>
      <c r="AD23" s="23"/>
      <c r="AE23" s="43"/>
      <c r="AF23" s="43"/>
      <c r="AG23" s="43"/>
      <c r="AH23" s="43"/>
      <c r="AI23" s="43"/>
      <c r="AJ23" s="46">
        <f t="shared" si="0"/>
        <v>0</v>
      </c>
      <c r="AK23" s="46">
        <f t="shared" si="1"/>
        <v>0</v>
      </c>
      <c r="AL23" s="150"/>
      <c r="AM23" s="151"/>
      <c r="AN23" s="151"/>
      <c r="AO23" s="152"/>
    </row>
    <row r="24" spans="1:41" ht="14.1" customHeight="1">
      <c r="A24" s="42">
        <v>11</v>
      </c>
      <c r="B24" s="53"/>
      <c r="C24" s="28"/>
      <c r="D24" s="43"/>
      <c r="E24" s="43"/>
      <c r="F24" s="43"/>
      <c r="G24" s="43"/>
      <c r="H24" s="43"/>
      <c r="I24" s="23"/>
      <c r="J24" s="43"/>
      <c r="K24" s="43"/>
      <c r="L24" s="43"/>
      <c r="M24" s="43"/>
      <c r="N24" s="98"/>
      <c r="O24" s="43"/>
      <c r="P24" s="23"/>
      <c r="Q24" s="43"/>
      <c r="R24" s="43"/>
      <c r="S24" s="43"/>
      <c r="T24" s="43"/>
      <c r="U24" s="43"/>
      <c r="V24" s="43"/>
      <c r="W24" s="22"/>
      <c r="X24" s="43"/>
      <c r="Y24" s="43"/>
      <c r="Z24" s="43"/>
      <c r="AA24" s="43"/>
      <c r="AB24" s="43"/>
      <c r="AC24" s="43"/>
      <c r="AD24" s="23"/>
      <c r="AE24" s="43"/>
      <c r="AF24" s="43"/>
      <c r="AG24" s="43"/>
      <c r="AH24" s="43"/>
      <c r="AI24" s="43"/>
      <c r="AJ24" s="46">
        <f t="shared" si="0"/>
        <v>0</v>
      </c>
      <c r="AK24" s="46">
        <f t="shared" si="1"/>
        <v>0</v>
      </c>
      <c r="AL24" s="150"/>
      <c r="AM24" s="151"/>
      <c r="AN24" s="151"/>
      <c r="AO24" s="152"/>
    </row>
    <row r="25" spans="1:41" ht="14.1" customHeight="1">
      <c r="A25" s="42">
        <v>12</v>
      </c>
      <c r="B25" s="52"/>
      <c r="C25" s="28"/>
      <c r="D25" s="43"/>
      <c r="E25" s="43"/>
      <c r="F25" s="43"/>
      <c r="G25" s="43"/>
      <c r="H25" s="43"/>
      <c r="I25" s="23"/>
      <c r="J25" s="43"/>
      <c r="K25" s="43"/>
      <c r="L25" s="43"/>
      <c r="M25" s="43"/>
      <c r="N25" s="98"/>
      <c r="O25" s="43"/>
      <c r="P25" s="23"/>
      <c r="Q25" s="43"/>
      <c r="R25" s="43"/>
      <c r="S25" s="43"/>
      <c r="T25" s="43"/>
      <c r="U25" s="43"/>
      <c r="V25" s="43"/>
      <c r="W25" s="22"/>
      <c r="X25" s="43"/>
      <c r="Y25" s="43"/>
      <c r="Z25" s="43"/>
      <c r="AA25" s="43"/>
      <c r="AB25" s="43"/>
      <c r="AC25" s="43"/>
      <c r="AD25" s="23"/>
      <c r="AE25" s="43"/>
      <c r="AF25" s="43"/>
      <c r="AG25" s="43"/>
      <c r="AH25" s="43"/>
      <c r="AI25" s="43"/>
      <c r="AJ25" s="46">
        <f t="shared" si="0"/>
        <v>0</v>
      </c>
      <c r="AK25" s="46">
        <f t="shared" si="1"/>
        <v>0</v>
      </c>
      <c r="AL25" s="150"/>
      <c r="AM25" s="151"/>
      <c r="AN25" s="151"/>
      <c r="AO25" s="152"/>
    </row>
    <row r="26" spans="1:41" ht="14.1" customHeight="1">
      <c r="A26" s="42">
        <v>13</v>
      </c>
      <c r="B26" s="54"/>
      <c r="C26" s="28"/>
      <c r="D26" s="43"/>
      <c r="E26" s="43"/>
      <c r="F26" s="43"/>
      <c r="G26" s="43"/>
      <c r="H26" s="43"/>
      <c r="I26" s="23"/>
      <c r="J26" s="43"/>
      <c r="K26" s="43"/>
      <c r="L26" s="43"/>
      <c r="M26" s="43"/>
      <c r="N26" s="98"/>
      <c r="O26" s="43"/>
      <c r="P26" s="23"/>
      <c r="Q26" s="43"/>
      <c r="R26" s="43"/>
      <c r="S26" s="43"/>
      <c r="T26" s="43"/>
      <c r="U26" s="43"/>
      <c r="V26" s="43"/>
      <c r="W26" s="22"/>
      <c r="X26" s="43"/>
      <c r="Y26" s="43"/>
      <c r="Z26" s="43"/>
      <c r="AA26" s="43"/>
      <c r="AB26" s="43"/>
      <c r="AC26" s="43"/>
      <c r="AD26" s="23"/>
      <c r="AE26" s="43"/>
      <c r="AF26" s="43"/>
      <c r="AG26" s="43"/>
      <c r="AH26" s="43"/>
      <c r="AI26" s="43"/>
      <c r="AJ26" s="46">
        <f t="shared" si="0"/>
        <v>0</v>
      </c>
      <c r="AK26" s="46">
        <f t="shared" si="1"/>
        <v>0</v>
      </c>
      <c r="AL26" s="39"/>
      <c r="AM26" s="40"/>
      <c r="AN26" s="40"/>
      <c r="AO26" s="41"/>
    </row>
    <row r="27" spans="1:41" ht="14.1" customHeight="1" thickBot="1">
      <c r="A27" s="50">
        <v>14</v>
      </c>
      <c r="B27" s="55"/>
      <c r="C27" s="28"/>
      <c r="D27" s="43"/>
      <c r="E27" s="43"/>
      <c r="F27" s="43"/>
      <c r="G27" s="43"/>
      <c r="H27" s="43"/>
      <c r="I27" s="23"/>
      <c r="J27" s="43"/>
      <c r="K27" s="43"/>
      <c r="L27" s="43"/>
      <c r="M27" s="43"/>
      <c r="N27" s="98"/>
      <c r="O27" s="43"/>
      <c r="P27" s="23"/>
      <c r="Q27" s="43"/>
      <c r="R27" s="43"/>
      <c r="S27" s="43"/>
      <c r="T27" s="43"/>
      <c r="U27" s="43"/>
      <c r="V27" s="43"/>
      <c r="W27" s="22"/>
      <c r="X27" s="43"/>
      <c r="Y27" s="43"/>
      <c r="Z27" s="43"/>
      <c r="AA27" s="43"/>
      <c r="AB27" s="43"/>
      <c r="AC27" s="43"/>
      <c r="AD27" s="23"/>
      <c r="AE27" s="43"/>
      <c r="AF27" s="43"/>
      <c r="AG27" s="43"/>
      <c r="AH27" s="43"/>
      <c r="AI27" s="43"/>
      <c r="AJ27" s="46">
        <f t="shared" si="0"/>
        <v>0</v>
      </c>
      <c r="AK27" s="46">
        <f t="shared" si="1"/>
        <v>0</v>
      </c>
      <c r="AL27" s="150"/>
      <c r="AM27" s="151"/>
      <c r="AN27" s="151"/>
      <c r="AO27" s="152"/>
    </row>
    <row r="28" spans="1:41" ht="15.75" thickBot="1">
      <c r="A28" s="156" t="s">
        <v>34</v>
      </c>
      <c r="B28" s="157"/>
      <c r="C28" s="48"/>
      <c r="D28" s="48"/>
      <c r="E28" s="48"/>
      <c r="F28" s="48"/>
      <c r="G28" s="48"/>
      <c r="H28" s="48"/>
      <c r="I28" s="45">
        <f>SUM(I14:I27)</f>
        <v>0</v>
      </c>
      <c r="J28" s="48"/>
      <c r="K28" s="48"/>
      <c r="L28" s="48"/>
      <c r="M28" s="48"/>
      <c r="N28" s="98"/>
      <c r="O28" s="48"/>
      <c r="P28" s="45">
        <f>SUM(P14:P27)</f>
        <v>0</v>
      </c>
      <c r="Q28" s="48"/>
      <c r="R28" s="48">
        <f>ROWS(R14:R27) - COUNTIF(R14:R27,"X")</f>
        <v>14</v>
      </c>
      <c r="S28" s="48">
        <f t="shared" ref="Q28:V28" si="2">ROWS(S14:S27) - COUNTIF(S14:S27,"X")</f>
        <v>14</v>
      </c>
      <c r="T28" s="48">
        <f t="shared" si="2"/>
        <v>14</v>
      </c>
      <c r="U28" s="48">
        <f t="shared" si="2"/>
        <v>14</v>
      </c>
      <c r="V28" s="48"/>
      <c r="W28" s="45">
        <f>SUM(W14:W27)</f>
        <v>0</v>
      </c>
      <c r="X28" s="48">
        <f t="shared" ref="X28:AC28" si="3">ROWS(X14:X27) - COUNTIF(X14:X27,"X")</f>
        <v>14</v>
      </c>
      <c r="Y28" s="48">
        <f t="shared" si="3"/>
        <v>14</v>
      </c>
      <c r="Z28" s="48">
        <f t="shared" si="3"/>
        <v>14</v>
      </c>
      <c r="AA28" s="48">
        <f t="shared" si="3"/>
        <v>14</v>
      </c>
      <c r="AB28" s="48">
        <f t="shared" si="3"/>
        <v>14</v>
      </c>
      <c r="AC28" s="48"/>
      <c r="AD28" s="45">
        <f>SUM(AD14:AD27)</f>
        <v>0</v>
      </c>
      <c r="AE28" s="48"/>
      <c r="AF28" s="48">
        <f t="shared" ref="AE28:AF28" si="4">ROWS(AF14:AF27) - COUNTIF(AF14:AF27,"X")</f>
        <v>14</v>
      </c>
      <c r="AG28" s="48"/>
      <c r="AH28" s="48"/>
      <c r="AI28" s="48"/>
      <c r="AJ28" s="47">
        <f>SUM(AJ14:AJ27)</f>
        <v>0</v>
      </c>
      <c r="AK28" s="47">
        <f>SUM(AK14:AK27)</f>
        <v>0</v>
      </c>
      <c r="AL28" s="141">
        <f>SUM(S28:AI28)</f>
        <v>126</v>
      </c>
      <c r="AM28" s="141"/>
      <c r="AN28" s="141"/>
      <c r="AO28" s="142"/>
    </row>
    <row r="29" spans="1:41" ht="14.1" customHeight="1">
      <c r="A29" s="49">
        <v>1</v>
      </c>
      <c r="B29" s="51"/>
      <c r="C29" s="27"/>
      <c r="D29" s="43"/>
      <c r="E29" s="43"/>
      <c r="F29" s="43"/>
      <c r="G29" s="43"/>
      <c r="H29" s="43"/>
      <c r="I29" s="22"/>
      <c r="J29" s="43"/>
      <c r="K29" s="43"/>
      <c r="L29" s="43"/>
      <c r="M29" s="43"/>
      <c r="N29" s="98"/>
      <c r="O29" s="43"/>
      <c r="P29" s="22"/>
      <c r="Q29" s="43"/>
      <c r="R29" s="43"/>
      <c r="S29" s="43"/>
      <c r="T29" s="43"/>
      <c r="U29" s="43"/>
      <c r="V29" s="43"/>
      <c r="W29" s="22"/>
      <c r="X29" s="43"/>
      <c r="Y29" s="43"/>
      <c r="Z29" s="43"/>
      <c r="AA29" s="43"/>
      <c r="AB29" s="43"/>
      <c r="AC29" s="43"/>
      <c r="AD29" s="22"/>
      <c r="AE29" s="43"/>
      <c r="AF29" s="43"/>
      <c r="AG29" s="43"/>
      <c r="AH29" s="43"/>
      <c r="AI29" s="43"/>
      <c r="AJ29" s="46">
        <f>COUNTIF(D29:AH29,"X")</f>
        <v>0</v>
      </c>
      <c r="AK29" s="46">
        <f>COUNTIF(D29:AH29,"T")</f>
        <v>0</v>
      </c>
      <c r="AL29" s="153"/>
      <c r="AM29" s="154"/>
      <c r="AN29" s="154"/>
      <c r="AO29" s="155"/>
    </row>
    <row r="30" spans="1:41" ht="14.1" customHeight="1">
      <c r="A30" s="42">
        <v>2</v>
      </c>
      <c r="B30" s="52"/>
      <c r="C30" s="28"/>
      <c r="D30" s="43"/>
      <c r="E30" s="43"/>
      <c r="F30" s="43"/>
      <c r="G30" s="43"/>
      <c r="H30" s="43"/>
      <c r="I30" s="22"/>
      <c r="J30" s="43"/>
      <c r="K30" s="43"/>
      <c r="L30" s="43"/>
      <c r="M30" s="43"/>
      <c r="N30" s="98"/>
      <c r="O30" s="43"/>
      <c r="P30" s="22"/>
      <c r="Q30" s="43"/>
      <c r="R30" s="43"/>
      <c r="S30" s="43"/>
      <c r="T30" s="43"/>
      <c r="U30" s="43"/>
      <c r="V30" s="43"/>
      <c r="W30" s="22"/>
      <c r="X30" s="43"/>
      <c r="Y30" s="43"/>
      <c r="Z30" s="43"/>
      <c r="AA30" s="43"/>
      <c r="AB30" s="43"/>
      <c r="AC30" s="43"/>
      <c r="AD30" s="22"/>
      <c r="AE30" s="43"/>
      <c r="AF30" s="43"/>
      <c r="AG30" s="43"/>
      <c r="AH30" s="43"/>
      <c r="AI30" s="43"/>
      <c r="AJ30" s="46">
        <f t="shared" ref="AJ30:AJ64" si="5">COUNTIF(D30:AH30,"X")</f>
        <v>0</v>
      </c>
      <c r="AK30" s="46">
        <f t="shared" ref="AK30:AK64" si="6">COUNTIF(D30:AH30,"T")</f>
        <v>0</v>
      </c>
      <c r="AL30" s="150"/>
      <c r="AM30" s="151"/>
      <c r="AN30" s="151"/>
      <c r="AO30" s="152"/>
    </row>
    <row r="31" spans="1:41" ht="14.1" customHeight="1">
      <c r="A31" s="42">
        <v>3</v>
      </c>
      <c r="B31" s="52"/>
      <c r="C31" s="28"/>
      <c r="D31" s="43"/>
      <c r="E31" s="43"/>
      <c r="F31" s="43"/>
      <c r="G31" s="43"/>
      <c r="H31" s="43"/>
      <c r="I31" s="22"/>
      <c r="J31" s="43"/>
      <c r="K31" s="43"/>
      <c r="L31" s="43"/>
      <c r="M31" s="43"/>
      <c r="N31" s="98"/>
      <c r="O31" s="43"/>
      <c r="P31" s="22"/>
      <c r="Q31" s="43"/>
      <c r="R31" s="43"/>
      <c r="S31" s="43"/>
      <c r="T31" s="43"/>
      <c r="U31" s="43"/>
      <c r="V31" s="43"/>
      <c r="W31" s="22"/>
      <c r="X31" s="43"/>
      <c r="Y31" s="43"/>
      <c r="Z31" s="43"/>
      <c r="AA31" s="43"/>
      <c r="AB31" s="43"/>
      <c r="AC31" s="43"/>
      <c r="AD31" s="22"/>
      <c r="AE31" s="43"/>
      <c r="AF31" s="43"/>
      <c r="AG31" s="43"/>
      <c r="AH31" s="43"/>
      <c r="AI31" s="43"/>
      <c r="AJ31" s="46">
        <f t="shared" si="5"/>
        <v>0</v>
      </c>
      <c r="AK31" s="46">
        <f t="shared" si="6"/>
        <v>0</v>
      </c>
      <c r="AL31" s="150"/>
      <c r="AM31" s="151"/>
      <c r="AN31" s="151"/>
      <c r="AO31" s="152"/>
    </row>
    <row r="32" spans="1:41" ht="14.1" customHeight="1">
      <c r="A32" s="42">
        <v>4</v>
      </c>
      <c r="B32" s="52"/>
      <c r="C32" s="28"/>
      <c r="D32" s="43"/>
      <c r="E32" s="43"/>
      <c r="F32" s="43"/>
      <c r="G32" s="43"/>
      <c r="H32" s="43"/>
      <c r="I32" s="22"/>
      <c r="J32" s="43"/>
      <c r="K32" s="43"/>
      <c r="L32" s="43"/>
      <c r="M32" s="43"/>
      <c r="N32" s="98"/>
      <c r="O32" s="43"/>
      <c r="P32" s="22"/>
      <c r="Q32" s="43"/>
      <c r="R32" s="43"/>
      <c r="S32" s="43"/>
      <c r="T32" s="43"/>
      <c r="U32" s="43"/>
      <c r="V32" s="43"/>
      <c r="W32" s="22"/>
      <c r="X32" s="43"/>
      <c r="Y32" s="43"/>
      <c r="Z32" s="43"/>
      <c r="AA32" s="43"/>
      <c r="AB32" s="43"/>
      <c r="AC32" s="43"/>
      <c r="AD32" s="22"/>
      <c r="AE32" s="43"/>
      <c r="AF32" s="43"/>
      <c r="AG32" s="43"/>
      <c r="AH32" s="43"/>
      <c r="AI32" s="43"/>
      <c r="AJ32" s="46">
        <f t="shared" si="5"/>
        <v>0</v>
      </c>
      <c r="AK32" s="46">
        <f t="shared" si="6"/>
        <v>0</v>
      </c>
      <c r="AL32" s="150"/>
      <c r="AM32" s="151"/>
      <c r="AN32" s="151"/>
      <c r="AO32" s="152"/>
    </row>
    <row r="33" spans="1:41" ht="14.1" customHeight="1">
      <c r="A33" s="42">
        <v>5</v>
      </c>
      <c r="B33" s="52"/>
      <c r="C33" s="28"/>
      <c r="D33" s="43"/>
      <c r="E33" s="43"/>
      <c r="F33" s="43"/>
      <c r="G33" s="43"/>
      <c r="H33" s="43"/>
      <c r="I33" s="22"/>
      <c r="J33" s="43"/>
      <c r="K33" s="43"/>
      <c r="L33" s="43"/>
      <c r="M33" s="43"/>
      <c r="N33" s="98"/>
      <c r="O33" s="43"/>
      <c r="P33" s="22"/>
      <c r="Q33" s="43"/>
      <c r="R33" s="43"/>
      <c r="S33" s="43"/>
      <c r="T33" s="43"/>
      <c r="U33" s="43"/>
      <c r="V33" s="43"/>
      <c r="W33" s="22"/>
      <c r="X33" s="43"/>
      <c r="Y33" s="43"/>
      <c r="Z33" s="43"/>
      <c r="AA33" s="43"/>
      <c r="AB33" s="43"/>
      <c r="AC33" s="43"/>
      <c r="AD33" s="22"/>
      <c r="AE33" s="43"/>
      <c r="AF33" s="43"/>
      <c r="AG33" s="43"/>
      <c r="AH33" s="43"/>
      <c r="AI33" s="43"/>
      <c r="AJ33" s="46">
        <f t="shared" si="5"/>
        <v>0</v>
      </c>
      <c r="AK33" s="46">
        <f t="shared" si="6"/>
        <v>0</v>
      </c>
      <c r="AL33" s="150"/>
      <c r="AM33" s="151"/>
      <c r="AN33" s="151"/>
      <c r="AO33" s="152"/>
    </row>
    <row r="34" spans="1:41" ht="14.1" customHeight="1">
      <c r="A34" s="42">
        <v>6</v>
      </c>
      <c r="B34" s="52"/>
      <c r="C34" s="28"/>
      <c r="D34" s="43"/>
      <c r="E34" s="43"/>
      <c r="F34" s="43"/>
      <c r="G34" s="43"/>
      <c r="H34" s="43"/>
      <c r="I34" s="22"/>
      <c r="J34" s="43"/>
      <c r="K34" s="43"/>
      <c r="L34" s="43"/>
      <c r="M34" s="43"/>
      <c r="N34" s="98"/>
      <c r="O34" s="43"/>
      <c r="P34" s="22"/>
      <c r="Q34" s="43"/>
      <c r="R34" s="43"/>
      <c r="S34" s="43"/>
      <c r="T34" s="43"/>
      <c r="U34" s="43"/>
      <c r="V34" s="43"/>
      <c r="W34" s="22"/>
      <c r="X34" s="43"/>
      <c r="Y34" s="43"/>
      <c r="Z34" s="43"/>
      <c r="AA34" s="43"/>
      <c r="AB34" s="43"/>
      <c r="AC34" s="43"/>
      <c r="AD34" s="22"/>
      <c r="AE34" s="43"/>
      <c r="AF34" s="43"/>
      <c r="AG34" s="43"/>
      <c r="AH34" s="43"/>
      <c r="AI34" s="43"/>
      <c r="AJ34" s="46">
        <f t="shared" si="5"/>
        <v>0</v>
      </c>
      <c r="AK34" s="46">
        <f t="shared" si="6"/>
        <v>0</v>
      </c>
      <c r="AL34" s="150"/>
      <c r="AM34" s="151"/>
      <c r="AN34" s="151"/>
      <c r="AO34" s="152"/>
    </row>
    <row r="35" spans="1:41" ht="14.1" customHeight="1">
      <c r="A35" s="42">
        <v>7</v>
      </c>
      <c r="B35" s="52"/>
      <c r="C35" s="28"/>
      <c r="D35" s="43"/>
      <c r="E35" s="43"/>
      <c r="F35" s="43"/>
      <c r="G35" s="43"/>
      <c r="H35" s="43"/>
      <c r="I35" s="22"/>
      <c r="J35" s="43"/>
      <c r="K35" s="43"/>
      <c r="L35" s="43"/>
      <c r="M35" s="43"/>
      <c r="N35" s="98"/>
      <c r="O35" s="43"/>
      <c r="P35" s="22"/>
      <c r="Q35" s="43"/>
      <c r="R35" s="43"/>
      <c r="S35" s="43"/>
      <c r="T35" s="43"/>
      <c r="U35" s="43"/>
      <c r="V35" s="43"/>
      <c r="W35" s="22"/>
      <c r="X35" s="43"/>
      <c r="Y35" s="43"/>
      <c r="Z35" s="43"/>
      <c r="AA35" s="43"/>
      <c r="AB35" s="43"/>
      <c r="AC35" s="43"/>
      <c r="AD35" s="22"/>
      <c r="AE35" s="43"/>
      <c r="AF35" s="43"/>
      <c r="AG35" s="43"/>
      <c r="AH35" s="43"/>
      <c r="AI35" s="43"/>
      <c r="AJ35" s="46">
        <f t="shared" si="5"/>
        <v>0</v>
      </c>
      <c r="AK35" s="46">
        <f>COUNTIF(D35:AH35,"T")</f>
        <v>0</v>
      </c>
      <c r="AL35" s="150"/>
      <c r="AM35" s="151"/>
      <c r="AN35" s="151"/>
      <c r="AO35" s="152"/>
    </row>
    <row r="36" spans="1:41" ht="14.1" customHeight="1">
      <c r="A36" s="42">
        <v>8</v>
      </c>
      <c r="B36" s="52"/>
      <c r="C36" s="28"/>
      <c r="D36" s="43"/>
      <c r="E36" s="43"/>
      <c r="F36" s="43"/>
      <c r="G36" s="43"/>
      <c r="H36" s="43"/>
      <c r="I36" s="22"/>
      <c r="J36" s="43"/>
      <c r="K36" s="43"/>
      <c r="L36" s="43"/>
      <c r="M36" s="43"/>
      <c r="N36" s="98"/>
      <c r="O36" s="43"/>
      <c r="P36" s="22"/>
      <c r="Q36" s="43"/>
      <c r="R36" s="43"/>
      <c r="S36" s="43"/>
      <c r="T36" s="43"/>
      <c r="U36" s="43"/>
      <c r="V36" s="43"/>
      <c r="W36" s="22"/>
      <c r="X36" s="43"/>
      <c r="Y36" s="43"/>
      <c r="Z36" s="43"/>
      <c r="AA36" s="43"/>
      <c r="AB36" s="43"/>
      <c r="AC36" s="43"/>
      <c r="AD36" s="22"/>
      <c r="AE36" s="43"/>
      <c r="AF36" s="43"/>
      <c r="AG36" s="43"/>
      <c r="AH36" s="43"/>
      <c r="AI36" s="43"/>
      <c r="AJ36" s="46">
        <f t="shared" si="5"/>
        <v>0</v>
      </c>
      <c r="AK36" s="46">
        <f t="shared" si="6"/>
        <v>0</v>
      </c>
      <c r="AL36" s="150"/>
      <c r="AM36" s="151"/>
      <c r="AN36" s="151"/>
      <c r="AO36" s="152"/>
    </row>
    <row r="37" spans="1:41" ht="14.1" customHeight="1">
      <c r="A37" s="42">
        <v>9</v>
      </c>
      <c r="B37" s="52"/>
      <c r="C37" s="28"/>
      <c r="D37" s="43"/>
      <c r="E37" s="43"/>
      <c r="F37" s="43"/>
      <c r="G37" s="43"/>
      <c r="H37" s="43"/>
      <c r="I37" s="22"/>
      <c r="J37" s="43"/>
      <c r="K37" s="43"/>
      <c r="L37" s="43"/>
      <c r="M37" s="43"/>
      <c r="N37" s="98"/>
      <c r="O37" s="43"/>
      <c r="P37" s="22"/>
      <c r="Q37" s="43"/>
      <c r="R37" s="43"/>
      <c r="S37" s="43"/>
      <c r="T37" s="43"/>
      <c r="U37" s="43"/>
      <c r="V37" s="43"/>
      <c r="W37" s="22"/>
      <c r="X37" s="43"/>
      <c r="Y37" s="43"/>
      <c r="Z37" s="43"/>
      <c r="AA37" s="43"/>
      <c r="AB37" s="43"/>
      <c r="AC37" s="43"/>
      <c r="AD37" s="22"/>
      <c r="AE37" s="43"/>
      <c r="AF37" s="43"/>
      <c r="AG37" s="43"/>
      <c r="AH37" s="43"/>
      <c r="AI37" s="43"/>
      <c r="AJ37" s="46">
        <f t="shared" si="5"/>
        <v>0</v>
      </c>
      <c r="AK37" s="46">
        <f t="shared" si="6"/>
        <v>0</v>
      </c>
      <c r="AL37" s="150"/>
      <c r="AM37" s="151"/>
      <c r="AN37" s="151"/>
      <c r="AO37" s="152"/>
    </row>
    <row r="38" spans="1:41" ht="14.1" customHeight="1">
      <c r="A38" s="42">
        <v>10</v>
      </c>
      <c r="B38" s="52"/>
      <c r="C38" s="28"/>
      <c r="D38" s="43"/>
      <c r="E38" s="43"/>
      <c r="F38" s="43"/>
      <c r="G38" s="43"/>
      <c r="H38" s="43"/>
      <c r="I38" s="22"/>
      <c r="J38" s="43"/>
      <c r="K38" s="43"/>
      <c r="L38" s="43"/>
      <c r="M38" s="43"/>
      <c r="N38" s="98"/>
      <c r="O38" s="43"/>
      <c r="P38" s="22"/>
      <c r="Q38" s="43"/>
      <c r="R38" s="43"/>
      <c r="S38" s="43"/>
      <c r="T38" s="43"/>
      <c r="U38" s="43"/>
      <c r="V38" s="43"/>
      <c r="W38" s="22"/>
      <c r="X38" s="43"/>
      <c r="Y38" s="43"/>
      <c r="Z38" s="43"/>
      <c r="AA38" s="43"/>
      <c r="AB38" s="43"/>
      <c r="AC38" s="43"/>
      <c r="AD38" s="22"/>
      <c r="AE38" s="43"/>
      <c r="AF38" s="43"/>
      <c r="AG38" s="43"/>
      <c r="AH38" s="43"/>
      <c r="AI38" s="43"/>
      <c r="AJ38" s="46">
        <f t="shared" si="5"/>
        <v>0</v>
      </c>
      <c r="AK38" s="46">
        <f t="shared" si="6"/>
        <v>0</v>
      </c>
      <c r="AL38" s="150"/>
      <c r="AM38" s="151"/>
      <c r="AN38" s="151"/>
      <c r="AO38" s="152"/>
    </row>
    <row r="39" spans="1:41" ht="14.1" customHeight="1">
      <c r="A39" s="42">
        <v>11</v>
      </c>
      <c r="B39" s="52"/>
      <c r="C39" s="28"/>
      <c r="D39" s="43"/>
      <c r="E39" s="43"/>
      <c r="F39" s="43"/>
      <c r="G39" s="43"/>
      <c r="H39" s="43"/>
      <c r="I39" s="22"/>
      <c r="J39" s="43"/>
      <c r="K39" s="43"/>
      <c r="L39" s="43"/>
      <c r="M39" s="43"/>
      <c r="N39" s="98"/>
      <c r="O39" s="43"/>
      <c r="P39" s="22"/>
      <c r="Q39" s="43"/>
      <c r="R39" s="43"/>
      <c r="S39" s="43"/>
      <c r="T39" s="43"/>
      <c r="U39" s="43"/>
      <c r="V39" s="43"/>
      <c r="W39" s="22"/>
      <c r="X39" s="43"/>
      <c r="Y39" s="43"/>
      <c r="Z39" s="43"/>
      <c r="AA39" s="43"/>
      <c r="AB39" s="43"/>
      <c r="AC39" s="43"/>
      <c r="AD39" s="22"/>
      <c r="AE39" s="43"/>
      <c r="AF39" s="43"/>
      <c r="AG39" s="43"/>
      <c r="AH39" s="43"/>
      <c r="AI39" s="43"/>
      <c r="AJ39" s="46">
        <f t="shared" si="5"/>
        <v>0</v>
      </c>
      <c r="AK39" s="46">
        <f t="shared" si="6"/>
        <v>0</v>
      </c>
      <c r="AL39" s="150"/>
      <c r="AM39" s="151"/>
      <c r="AN39" s="151"/>
      <c r="AO39" s="152"/>
    </row>
    <row r="40" spans="1:41" ht="14.1" customHeight="1">
      <c r="A40" s="42">
        <v>12</v>
      </c>
      <c r="B40" s="52"/>
      <c r="C40" s="28"/>
      <c r="D40" s="43"/>
      <c r="E40" s="43"/>
      <c r="F40" s="43"/>
      <c r="G40" s="43"/>
      <c r="H40" s="43"/>
      <c r="I40" s="22"/>
      <c r="J40" s="43"/>
      <c r="K40" s="43"/>
      <c r="L40" s="43"/>
      <c r="M40" s="43"/>
      <c r="N40" s="98"/>
      <c r="O40" s="43"/>
      <c r="P40" s="22"/>
      <c r="Q40" s="43"/>
      <c r="R40" s="43"/>
      <c r="S40" s="43"/>
      <c r="T40" s="43"/>
      <c r="U40" s="43"/>
      <c r="V40" s="43"/>
      <c r="W40" s="22"/>
      <c r="X40" s="43"/>
      <c r="Y40" s="43"/>
      <c r="Z40" s="43"/>
      <c r="AA40" s="43"/>
      <c r="AB40" s="43"/>
      <c r="AC40" s="43"/>
      <c r="AD40" s="22"/>
      <c r="AE40" s="43"/>
      <c r="AF40" s="43"/>
      <c r="AG40" s="43"/>
      <c r="AH40" s="43"/>
      <c r="AI40" s="43"/>
      <c r="AJ40" s="46">
        <f t="shared" si="5"/>
        <v>0</v>
      </c>
      <c r="AK40" s="46">
        <f t="shared" si="6"/>
        <v>0</v>
      </c>
      <c r="AL40" s="150"/>
      <c r="AM40" s="151"/>
      <c r="AN40" s="151"/>
      <c r="AO40" s="152"/>
    </row>
    <row r="41" spans="1:41" ht="14.1" customHeight="1">
      <c r="A41" s="42">
        <v>13</v>
      </c>
      <c r="B41" s="52"/>
      <c r="C41" s="28"/>
      <c r="D41" s="43"/>
      <c r="E41" s="43"/>
      <c r="F41" s="43"/>
      <c r="G41" s="43"/>
      <c r="H41" s="43"/>
      <c r="I41" s="22"/>
      <c r="J41" s="43"/>
      <c r="K41" s="43"/>
      <c r="L41" s="43"/>
      <c r="M41" s="43"/>
      <c r="N41" s="98"/>
      <c r="O41" s="43"/>
      <c r="P41" s="22"/>
      <c r="Q41" s="43"/>
      <c r="R41" s="43"/>
      <c r="S41" s="43"/>
      <c r="T41" s="43"/>
      <c r="U41" s="43"/>
      <c r="V41" s="43"/>
      <c r="W41" s="22"/>
      <c r="X41" s="43"/>
      <c r="Y41" s="43"/>
      <c r="Z41" s="43"/>
      <c r="AA41" s="43"/>
      <c r="AB41" s="43"/>
      <c r="AC41" s="43"/>
      <c r="AD41" s="22"/>
      <c r="AE41" s="43"/>
      <c r="AF41" s="43"/>
      <c r="AG41" s="43"/>
      <c r="AH41" s="43"/>
      <c r="AI41" s="43"/>
      <c r="AJ41" s="46">
        <f t="shared" si="5"/>
        <v>0</v>
      </c>
      <c r="AK41" s="46">
        <f t="shared" si="6"/>
        <v>0</v>
      </c>
      <c r="AL41" s="150"/>
      <c r="AM41" s="151"/>
      <c r="AN41" s="151"/>
      <c r="AO41" s="152"/>
    </row>
    <row r="42" spans="1:41" ht="14.1" customHeight="1">
      <c r="A42" s="42">
        <v>14</v>
      </c>
      <c r="B42" s="52"/>
      <c r="C42" s="28"/>
      <c r="D42" s="43"/>
      <c r="E42" s="43"/>
      <c r="F42" s="43"/>
      <c r="G42" s="43"/>
      <c r="H42" s="43"/>
      <c r="I42" s="22"/>
      <c r="J42" s="43"/>
      <c r="K42" s="43"/>
      <c r="L42" s="43"/>
      <c r="M42" s="43"/>
      <c r="N42" s="98"/>
      <c r="O42" s="43"/>
      <c r="P42" s="22"/>
      <c r="Q42" s="43"/>
      <c r="R42" s="43"/>
      <c r="S42" s="43"/>
      <c r="T42" s="43"/>
      <c r="U42" s="43"/>
      <c r="V42" s="43"/>
      <c r="W42" s="22"/>
      <c r="X42" s="43"/>
      <c r="Y42" s="43"/>
      <c r="Z42" s="43"/>
      <c r="AA42" s="43"/>
      <c r="AB42" s="43"/>
      <c r="AC42" s="43"/>
      <c r="AD42" s="22"/>
      <c r="AE42" s="43"/>
      <c r="AF42" s="43"/>
      <c r="AG42" s="43"/>
      <c r="AH42" s="43"/>
      <c r="AI42" s="43"/>
      <c r="AJ42" s="46">
        <f t="shared" si="5"/>
        <v>0</v>
      </c>
      <c r="AK42" s="46">
        <f t="shared" si="6"/>
        <v>0</v>
      </c>
      <c r="AL42" s="150"/>
      <c r="AM42" s="151"/>
      <c r="AN42" s="151"/>
      <c r="AO42" s="152"/>
    </row>
    <row r="43" spans="1:41" ht="14.1" customHeight="1">
      <c r="A43" s="42">
        <v>15</v>
      </c>
      <c r="B43" s="52"/>
      <c r="C43" s="28"/>
      <c r="D43" s="43"/>
      <c r="E43" s="43"/>
      <c r="F43" s="43"/>
      <c r="G43" s="43"/>
      <c r="H43" s="43"/>
      <c r="I43" s="22"/>
      <c r="J43" s="43"/>
      <c r="K43" s="43"/>
      <c r="L43" s="43"/>
      <c r="M43" s="43"/>
      <c r="N43" s="98"/>
      <c r="O43" s="43"/>
      <c r="P43" s="22"/>
      <c r="Q43" s="43"/>
      <c r="R43" s="43"/>
      <c r="S43" s="43"/>
      <c r="T43" s="43"/>
      <c r="U43" s="43"/>
      <c r="V43" s="43"/>
      <c r="W43" s="22"/>
      <c r="X43" s="43"/>
      <c r="Y43" s="43"/>
      <c r="Z43" s="43"/>
      <c r="AA43" s="43"/>
      <c r="AB43" s="43"/>
      <c r="AC43" s="43"/>
      <c r="AD43" s="22"/>
      <c r="AE43" s="43"/>
      <c r="AF43" s="43"/>
      <c r="AG43" s="43"/>
      <c r="AH43" s="43"/>
      <c r="AI43" s="43"/>
      <c r="AJ43" s="46">
        <f t="shared" si="5"/>
        <v>0</v>
      </c>
      <c r="AK43" s="46">
        <f t="shared" si="6"/>
        <v>0</v>
      </c>
      <c r="AL43" s="150"/>
      <c r="AM43" s="151"/>
      <c r="AN43" s="151"/>
      <c r="AO43" s="152"/>
    </row>
    <row r="44" spans="1:41" ht="14.1" customHeight="1">
      <c r="A44" s="42">
        <v>16</v>
      </c>
      <c r="B44" s="52"/>
      <c r="C44" s="28"/>
      <c r="D44" s="43"/>
      <c r="E44" s="43"/>
      <c r="F44" s="43"/>
      <c r="G44" s="43"/>
      <c r="H44" s="43"/>
      <c r="I44" s="22"/>
      <c r="J44" s="43"/>
      <c r="K44" s="43"/>
      <c r="L44" s="43"/>
      <c r="M44" s="43"/>
      <c r="N44" s="98"/>
      <c r="O44" s="43"/>
      <c r="P44" s="22"/>
      <c r="Q44" s="43"/>
      <c r="R44" s="43"/>
      <c r="S44" s="43"/>
      <c r="T44" s="43"/>
      <c r="U44" s="43"/>
      <c r="V44" s="43"/>
      <c r="W44" s="22"/>
      <c r="X44" s="43"/>
      <c r="Y44" s="43"/>
      <c r="Z44" s="43"/>
      <c r="AA44" s="43"/>
      <c r="AB44" s="43"/>
      <c r="AC44" s="43"/>
      <c r="AD44" s="22"/>
      <c r="AE44" s="43"/>
      <c r="AF44" s="43"/>
      <c r="AG44" s="43"/>
      <c r="AH44" s="43"/>
      <c r="AI44" s="43"/>
      <c r="AJ44" s="46">
        <f t="shared" si="5"/>
        <v>0</v>
      </c>
      <c r="AK44" s="46">
        <f t="shared" si="6"/>
        <v>0</v>
      </c>
      <c r="AL44" s="150"/>
      <c r="AM44" s="151"/>
      <c r="AN44" s="151"/>
      <c r="AO44" s="152"/>
    </row>
    <row r="45" spans="1:41" ht="14.1" customHeight="1">
      <c r="A45" s="42">
        <v>17</v>
      </c>
      <c r="B45" s="52"/>
      <c r="C45" s="28"/>
      <c r="D45" s="43"/>
      <c r="E45" s="43"/>
      <c r="F45" s="43"/>
      <c r="G45" s="43"/>
      <c r="H45" s="43"/>
      <c r="I45" s="22"/>
      <c r="J45" s="43"/>
      <c r="K45" s="43"/>
      <c r="L45" s="43"/>
      <c r="M45" s="43"/>
      <c r="N45" s="98"/>
      <c r="O45" s="43"/>
      <c r="P45" s="22"/>
      <c r="Q45" s="43"/>
      <c r="R45" s="43"/>
      <c r="S45" s="43"/>
      <c r="T45" s="43"/>
      <c r="U45" s="43"/>
      <c r="V45" s="43"/>
      <c r="W45" s="22"/>
      <c r="X45" s="43"/>
      <c r="Y45" s="43"/>
      <c r="Z45" s="43"/>
      <c r="AA45" s="43"/>
      <c r="AB45" s="43"/>
      <c r="AC45" s="43"/>
      <c r="AD45" s="22"/>
      <c r="AE45" s="43"/>
      <c r="AF45" s="43"/>
      <c r="AG45" s="43"/>
      <c r="AH45" s="43"/>
      <c r="AI45" s="43"/>
      <c r="AJ45" s="46">
        <f t="shared" si="5"/>
        <v>0</v>
      </c>
      <c r="AK45" s="46">
        <f t="shared" si="6"/>
        <v>0</v>
      </c>
      <c r="AL45" s="150"/>
      <c r="AM45" s="151"/>
      <c r="AN45" s="151"/>
      <c r="AO45" s="152"/>
    </row>
    <row r="46" spans="1:41" ht="14.1" customHeight="1">
      <c r="A46" s="42">
        <v>18</v>
      </c>
      <c r="B46" s="52"/>
      <c r="C46" s="28"/>
      <c r="D46" s="43"/>
      <c r="E46" s="43"/>
      <c r="F46" s="43"/>
      <c r="G46" s="43"/>
      <c r="H46" s="43"/>
      <c r="I46" s="22"/>
      <c r="J46" s="43"/>
      <c r="K46" s="43"/>
      <c r="L46" s="43"/>
      <c r="M46" s="43"/>
      <c r="N46" s="98"/>
      <c r="O46" s="43"/>
      <c r="P46" s="22"/>
      <c r="Q46" s="43"/>
      <c r="R46" s="43"/>
      <c r="S46" s="43"/>
      <c r="T46" s="43"/>
      <c r="U46" s="43"/>
      <c r="V46" s="43"/>
      <c r="W46" s="22"/>
      <c r="X46" s="43"/>
      <c r="Y46" s="43"/>
      <c r="Z46" s="43"/>
      <c r="AA46" s="43"/>
      <c r="AB46" s="43"/>
      <c r="AC46" s="43"/>
      <c r="AD46" s="22"/>
      <c r="AE46" s="43"/>
      <c r="AF46" s="43"/>
      <c r="AG46" s="43"/>
      <c r="AH46" s="43"/>
      <c r="AI46" s="43"/>
      <c r="AJ46" s="46">
        <f t="shared" si="5"/>
        <v>0</v>
      </c>
      <c r="AK46" s="46">
        <f t="shared" si="6"/>
        <v>0</v>
      </c>
      <c r="AL46" s="150"/>
      <c r="AM46" s="151"/>
      <c r="AN46" s="151"/>
      <c r="AO46" s="152"/>
    </row>
    <row r="47" spans="1:41" ht="14.1" customHeight="1">
      <c r="A47" s="42">
        <v>19</v>
      </c>
      <c r="B47" s="56"/>
      <c r="C47" s="28"/>
      <c r="D47" s="43"/>
      <c r="E47" s="43"/>
      <c r="F47" s="43"/>
      <c r="G47" s="43"/>
      <c r="H47" s="43"/>
      <c r="I47" s="22"/>
      <c r="J47" s="43"/>
      <c r="K47" s="43"/>
      <c r="L47" s="43"/>
      <c r="M47" s="43"/>
      <c r="N47" s="98"/>
      <c r="O47" s="43"/>
      <c r="P47" s="22"/>
      <c r="Q47" s="43"/>
      <c r="R47" s="43"/>
      <c r="S47" s="43"/>
      <c r="T47" s="43"/>
      <c r="U47" s="43"/>
      <c r="V47" s="43"/>
      <c r="W47" s="22"/>
      <c r="X47" s="43"/>
      <c r="Y47" s="43"/>
      <c r="Z47" s="43"/>
      <c r="AA47" s="43"/>
      <c r="AB47" s="43"/>
      <c r="AC47" s="43"/>
      <c r="AD47" s="22"/>
      <c r="AE47" s="43"/>
      <c r="AF47" s="43"/>
      <c r="AG47" s="43"/>
      <c r="AH47" s="43"/>
      <c r="AI47" s="43"/>
      <c r="AJ47" s="46">
        <f t="shared" si="5"/>
        <v>0</v>
      </c>
      <c r="AK47" s="46">
        <f t="shared" si="6"/>
        <v>0</v>
      </c>
      <c r="AL47" s="150"/>
      <c r="AM47" s="151"/>
      <c r="AN47" s="151"/>
      <c r="AO47" s="152"/>
    </row>
    <row r="48" spans="1:41" ht="14.1" customHeight="1">
      <c r="A48" s="42">
        <v>20</v>
      </c>
      <c r="B48" s="52"/>
      <c r="C48" s="28"/>
      <c r="D48" s="43"/>
      <c r="E48" s="43"/>
      <c r="F48" s="43"/>
      <c r="G48" s="43"/>
      <c r="H48" s="43"/>
      <c r="I48" s="22"/>
      <c r="J48" s="43"/>
      <c r="K48" s="43"/>
      <c r="L48" s="43"/>
      <c r="M48" s="43"/>
      <c r="N48" s="98"/>
      <c r="O48" s="43"/>
      <c r="P48" s="22"/>
      <c r="Q48" s="43"/>
      <c r="R48" s="43"/>
      <c r="S48" s="43"/>
      <c r="T48" s="43"/>
      <c r="U48" s="43"/>
      <c r="V48" s="43"/>
      <c r="W48" s="22"/>
      <c r="X48" s="43"/>
      <c r="Y48" s="43"/>
      <c r="Z48" s="43"/>
      <c r="AA48" s="43"/>
      <c r="AB48" s="43"/>
      <c r="AC48" s="43"/>
      <c r="AD48" s="22"/>
      <c r="AE48" s="43"/>
      <c r="AF48" s="43"/>
      <c r="AG48" s="43"/>
      <c r="AH48" s="43"/>
      <c r="AI48" s="43"/>
      <c r="AJ48" s="46">
        <f t="shared" si="5"/>
        <v>0</v>
      </c>
      <c r="AK48" s="46">
        <f t="shared" si="6"/>
        <v>0</v>
      </c>
      <c r="AL48" s="150"/>
      <c r="AM48" s="151"/>
      <c r="AN48" s="151"/>
      <c r="AO48" s="152"/>
    </row>
    <row r="49" spans="1:41" ht="14.1" customHeight="1">
      <c r="A49" s="42">
        <v>21</v>
      </c>
      <c r="B49" s="52"/>
      <c r="C49" s="28"/>
      <c r="D49" s="43"/>
      <c r="E49" s="43"/>
      <c r="F49" s="43"/>
      <c r="G49" s="43"/>
      <c r="H49" s="43"/>
      <c r="I49" s="22"/>
      <c r="J49" s="43"/>
      <c r="K49" s="43"/>
      <c r="L49" s="43"/>
      <c r="M49" s="43"/>
      <c r="N49" s="98"/>
      <c r="O49" s="43"/>
      <c r="P49" s="22"/>
      <c r="Q49" s="43"/>
      <c r="R49" s="43"/>
      <c r="S49" s="43"/>
      <c r="T49" s="43"/>
      <c r="U49" s="43"/>
      <c r="V49" s="43"/>
      <c r="W49" s="22"/>
      <c r="X49" s="43"/>
      <c r="Y49" s="43"/>
      <c r="Z49" s="43"/>
      <c r="AA49" s="43"/>
      <c r="AB49" s="43"/>
      <c r="AC49" s="43"/>
      <c r="AD49" s="22"/>
      <c r="AE49" s="43"/>
      <c r="AF49" s="43"/>
      <c r="AG49" s="43"/>
      <c r="AH49" s="43"/>
      <c r="AI49" s="43"/>
      <c r="AJ49" s="46">
        <f t="shared" si="5"/>
        <v>0</v>
      </c>
      <c r="AK49" s="46">
        <f t="shared" si="6"/>
        <v>0</v>
      </c>
      <c r="AL49" s="150"/>
      <c r="AM49" s="151"/>
      <c r="AN49" s="151"/>
      <c r="AO49" s="152"/>
    </row>
    <row r="50" spans="1:41" ht="14.1" customHeight="1">
      <c r="A50" s="42">
        <v>22</v>
      </c>
      <c r="B50" s="52"/>
      <c r="C50" s="28"/>
      <c r="D50" s="43"/>
      <c r="E50" s="43"/>
      <c r="F50" s="43"/>
      <c r="G50" s="43"/>
      <c r="H50" s="43"/>
      <c r="I50" s="22"/>
      <c r="J50" s="43"/>
      <c r="K50" s="43"/>
      <c r="L50" s="43"/>
      <c r="M50" s="43"/>
      <c r="N50" s="98"/>
      <c r="O50" s="43"/>
      <c r="P50" s="22"/>
      <c r="Q50" s="43"/>
      <c r="R50" s="43"/>
      <c r="S50" s="43"/>
      <c r="T50" s="43"/>
      <c r="U50" s="43"/>
      <c r="V50" s="43"/>
      <c r="W50" s="22"/>
      <c r="X50" s="43"/>
      <c r="Y50" s="43"/>
      <c r="Z50" s="43"/>
      <c r="AA50" s="43"/>
      <c r="AB50" s="43"/>
      <c r="AC50" s="43"/>
      <c r="AD50" s="22"/>
      <c r="AE50" s="43"/>
      <c r="AF50" s="43"/>
      <c r="AG50" s="43"/>
      <c r="AH50" s="43"/>
      <c r="AI50" s="43"/>
      <c r="AJ50" s="46">
        <f t="shared" si="5"/>
        <v>0</v>
      </c>
      <c r="AK50" s="46">
        <f t="shared" si="6"/>
        <v>0</v>
      </c>
      <c r="AL50" s="39"/>
      <c r="AM50" s="40"/>
      <c r="AN50" s="40"/>
      <c r="AO50" s="41"/>
    </row>
    <row r="51" spans="1:41" ht="14.1" customHeight="1">
      <c r="A51" s="42">
        <v>23</v>
      </c>
      <c r="B51" s="52"/>
      <c r="C51" s="28"/>
      <c r="D51" s="43"/>
      <c r="E51" s="43"/>
      <c r="F51" s="43"/>
      <c r="G51" s="43"/>
      <c r="H51" s="43"/>
      <c r="I51" s="22"/>
      <c r="J51" s="43"/>
      <c r="K51" s="43"/>
      <c r="L51" s="43"/>
      <c r="M51" s="43"/>
      <c r="N51" s="98"/>
      <c r="O51" s="43"/>
      <c r="P51" s="22"/>
      <c r="Q51" s="43"/>
      <c r="R51" s="43"/>
      <c r="S51" s="43"/>
      <c r="T51" s="43"/>
      <c r="U51" s="43"/>
      <c r="V51" s="43"/>
      <c r="W51" s="22"/>
      <c r="X51" s="43"/>
      <c r="Y51" s="43"/>
      <c r="Z51" s="43"/>
      <c r="AA51" s="43"/>
      <c r="AB51" s="43"/>
      <c r="AC51" s="43"/>
      <c r="AD51" s="22"/>
      <c r="AE51" s="43"/>
      <c r="AF51" s="43"/>
      <c r="AG51" s="43"/>
      <c r="AH51" s="43"/>
      <c r="AI51" s="43"/>
      <c r="AJ51" s="46">
        <f t="shared" si="5"/>
        <v>0</v>
      </c>
      <c r="AK51" s="46">
        <f t="shared" si="6"/>
        <v>0</v>
      </c>
      <c r="AL51" s="39"/>
      <c r="AM51" s="40"/>
      <c r="AN51" s="40"/>
      <c r="AO51" s="41"/>
    </row>
    <row r="52" spans="1:41" ht="14.1" customHeight="1">
      <c r="A52" s="42">
        <v>24</v>
      </c>
      <c r="B52" s="52"/>
      <c r="C52" s="28"/>
      <c r="D52" s="43"/>
      <c r="E52" s="43"/>
      <c r="F52" s="43"/>
      <c r="G52" s="43"/>
      <c r="H52" s="43"/>
      <c r="I52" s="22"/>
      <c r="J52" s="43"/>
      <c r="K52" s="43"/>
      <c r="L52" s="43"/>
      <c r="M52" s="43"/>
      <c r="N52" s="98"/>
      <c r="O52" s="43"/>
      <c r="P52" s="22"/>
      <c r="Q52" s="43"/>
      <c r="R52" s="43"/>
      <c r="S52" s="43"/>
      <c r="T52" s="43"/>
      <c r="U52" s="43"/>
      <c r="V52" s="43"/>
      <c r="W52" s="22"/>
      <c r="X52" s="43"/>
      <c r="Y52" s="43"/>
      <c r="Z52" s="43"/>
      <c r="AA52" s="43"/>
      <c r="AB52" s="43"/>
      <c r="AC52" s="43"/>
      <c r="AD52" s="22"/>
      <c r="AE52" s="43"/>
      <c r="AF52" s="43"/>
      <c r="AG52" s="43"/>
      <c r="AH52" s="43"/>
      <c r="AI52" s="43"/>
      <c r="AJ52" s="46">
        <f t="shared" si="5"/>
        <v>0</v>
      </c>
      <c r="AK52" s="46">
        <f t="shared" si="6"/>
        <v>0</v>
      </c>
      <c r="AL52" s="39"/>
      <c r="AM52" s="40"/>
      <c r="AN52" s="40"/>
      <c r="AO52" s="41"/>
    </row>
    <row r="53" spans="1:41" ht="14.1" customHeight="1">
      <c r="A53" s="42">
        <v>25</v>
      </c>
      <c r="B53" s="52"/>
      <c r="C53" s="28"/>
      <c r="D53" s="43"/>
      <c r="E53" s="43"/>
      <c r="F53" s="43"/>
      <c r="G53" s="43"/>
      <c r="H53" s="43"/>
      <c r="I53" s="22"/>
      <c r="J53" s="43"/>
      <c r="K53" s="43"/>
      <c r="L53" s="43"/>
      <c r="M53" s="43"/>
      <c r="N53" s="98"/>
      <c r="O53" s="43"/>
      <c r="P53" s="22"/>
      <c r="Q53" s="43"/>
      <c r="R53" s="43"/>
      <c r="S53" s="43"/>
      <c r="T53" s="43"/>
      <c r="U53" s="43"/>
      <c r="V53" s="43"/>
      <c r="W53" s="22"/>
      <c r="X53" s="43"/>
      <c r="Y53" s="43"/>
      <c r="Z53" s="43"/>
      <c r="AA53" s="43"/>
      <c r="AB53" s="43"/>
      <c r="AC53" s="43"/>
      <c r="AD53" s="22"/>
      <c r="AE53" s="43"/>
      <c r="AF53" s="43"/>
      <c r="AG53" s="43"/>
      <c r="AH53" s="43"/>
      <c r="AI53" s="43"/>
      <c r="AJ53" s="46">
        <f t="shared" si="5"/>
        <v>0</v>
      </c>
      <c r="AK53" s="46">
        <f t="shared" si="6"/>
        <v>0</v>
      </c>
      <c r="AL53" s="39"/>
      <c r="AM53" s="40"/>
      <c r="AN53" s="40"/>
      <c r="AO53" s="41"/>
    </row>
    <row r="54" spans="1:41" ht="14.1" customHeight="1">
      <c r="A54" s="42">
        <v>26</v>
      </c>
      <c r="B54" s="52"/>
      <c r="C54" s="28"/>
      <c r="D54" s="43"/>
      <c r="E54" s="43"/>
      <c r="F54" s="43"/>
      <c r="G54" s="43"/>
      <c r="H54" s="43"/>
      <c r="I54" s="22"/>
      <c r="J54" s="43"/>
      <c r="K54" s="43"/>
      <c r="L54" s="43"/>
      <c r="M54" s="43"/>
      <c r="N54" s="98"/>
      <c r="O54" s="43"/>
      <c r="P54" s="22"/>
      <c r="Q54" s="43"/>
      <c r="R54" s="43"/>
      <c r="S54" s="43"/>
      <c r="T54" s="43"/>
      <c r="U54" s="43"/>
      <c r="V54" s="43"/>
      <c r="W54" s="22"/>
      <c r="X54" s="43"/>
      <c r="Y54" s="43"/>
      <c r="Z54" s="43"/>
      <c r="AA54" s="43"/>
      <c r="AB54" s="43"/>
      <c r="AC54" s="43"/>
      <c r="AD54" s="22"/>
      <c r="AE54" s="43"/>
      <c r="AF54" s="43"/>
      <c r="AG54" s="43"/>
      <c r="AH54" s="43"/>
      <c r="AI54" s="43"/>
      <c r="AJ54" s="46">
        <f t="shared" si="5"/>
        <v>0</v>
      </c>
      <c r="AK54" s="46">
        <f t="shared" si="6"/>
        <v>0</v>
      </c>
      <c r="AL54" s="39"/>
      <c r="AM54" s="40"/>
      <c r="AN54" s="40"/>
      <c r="AO54" s="41"/>
    </row>
    <row r="55" spans="1:41" ht="14.1" customHeight="1">
      <c r="A55" s="42">
        <v>27</v>
      </c>
      <c r="B55" s="52"/>
      <c r="C55" s="28"/>
      <c r="D55" s="43"/>
      <c r="E55" s="43"/>
      <c r="F55" s="43"/>
      <c r="G55" s="43"/>
      <c r="H55" s="43"/>
      <c r="I55" s="22"/>
      <c r="J55" s="43"/>
      <c r="K55" s="43"/>
      <c r="L55" s="43"/>
      <c r="M55" s="43"/>
      <c r="N55" s="98"/>
      <c r="O55" s="43"/>
      <c r="P55" s="22"/>
      <c r="Q55" s="43"/>
      <c r="R55" s="43"/>
      <c r="S55" s="43"/>
      <c r="T55" s="43"/>
      <c r="U55" s="43"/>
      <c r="V55" s="43"/>
      <c r="W55" s="22"/>
      <c r="X55" s="43"/>
      <c r="Y55" s="43"/>
      <c r="Z55" s="43"/>
      <c r="AA55" s="43"/>
      <c r="AB55" s="43"/>
      <c r="AC55" s="43"/>
      <c r="AD55" s="22"/>
      <c r="AE55" s="43"/>
      <c r="AF55" s="43"/>
      <c r="AG55" s="43"/>
      <c r="AH55" s="43"/>
      <c r="AI55" s="43"/>
      <c r="AJ55" s="46">
        <f t="shared" si="5"/>
        <v>0</v>
      </c>
      <c r="AK55" s="46">
        <f t="shared" si="6"/>
        <v>0</v>
      </c>
      <c r="AL55" s="39"/>
      <c r="AM55" s="40"/>
      <c r="AN55" s="40"/>
      <c r="AO55" s="41"/>
    </row>
    <row r="56" spans="1:41" ht="14.1" customHeight="1">
      <c r="A56" s="42">
        <v>28</v>
      </c>
      <c r="B56" s="52"/>
      <c r="C56" s="28"/>
      <c r="D56" s="43"/>
      <c r="E56" s="43"/>
      <c r="F56" s="43"/>
      <c r="G56" s="43"/>
      <c r="H56" s="43"/>
      <c r="I56" s="22"/>
      <c r="J56" s="43"/>
      <c r="K56" s="43"/>
      <c r="L56" s="43"/>
      <c r="M56" s="43"/>
      <c r="N56" s="98"/>
      <c r="O56" s="43"/>
      <c r="P56" s="22"/>
      <c r="Q56" s="43"/>
      <c r="R56" s="43"/>
      <c r="S56" s="43"/>
      <c r="T56" s="43"/>
      <c r="U56" s="43"/>
      <c r="V56" s="43"/>
      <c r="W56" s="22"/>
      <c r="X56" s="43"/>
      <c r="Y56" s="43"/>
      <c r="Z56" s="43"/>
      <c r="AA56" s="43"/>
      <c r="AB56" s="43"/>
      <c r="AC56" s="43"/>
      <c r="AD56" s="22"/>
      <c r="AE56" s="43"/>
      <c r="AF56" s="43"/>
      <c r="AG56" s="43"/>
      <c r="AH56" s="43"/>
      <c r="AI56" s="43"/>
      <c r="AJ56" s="46">
        <f t="shared" si="5"/>
        <v>0</v>
      </c>
      <c r="AK56" s="46">
        <f t="shared" si="6"/>
        <v>0</v>
      </c>
      <c r="AL56" s="39"/>
      <c r="AM56" s="40"/>
      <c r="AN56" s="40"/>
      <c r="AO56" s="41"/>
    </row>
    <row r="57" spans="1:41" ht="14.1" customHeight="1">
      <c r="A57" s="42">
        <v>29</v>
      </c>
      <c r="B57" s="52"/>
      <c r="C57" s="28"/>
      <c r="D57" s="43"/>
      <c r="E57" s="43"/>
      <c r="F57" s="43"/>
      <c r="G57" s="43"/>
      <c r="H57" s="43"/>
      <c r="I57" s="22"/>
      <c r="J57" s="43"/>
      <c r="K57" s="43"/>
      <c r="L57" s="43"/>
      <c r="M57" s="43"/>
      <c r="N57" s="98"/>
      <c r="O57" s="43"/>
      <c r="P57" s="22"/>
      <c r="Q57" s="43"/>
      <c r="R57" s="43"/>
      <c r="S57" s="43"/>
      <c r="T57" s="43"/>
      <c r="U57" s="43"/>
      <c r="V57" s="43"/>
      <c r="W57" s="22"/>
      <c r="X57" s="43"/>
      <c r="Y57" s="43"/>
      <c r="Z57" s="43"/>
      <c r="AA57" s="43"/>
      <c r="AB57" s="43"/>
      <c r="AC57" s="43"/>
      <c r="AD57" s="22"/>
      <c r="AE57" s="43"/>
      <c r="AF57" s="43"/>
      <c r="AG57" s="43"/>
      <c r="AH57" s="43"/>
      <c r="AI57" s="43"/>
      <c r="AJ57" s="46">
        <f t="shared" si="5"/>
        <v>0</v>
      </c>
      <c r="AK57" s="46">
        <f t="shared" si="6"/>
        <v>0</v>
      </c>
      <c r="AL57" s="39"/>
      <c r="AM57" s="40"/>
      <c r="AN57" s="40"/>
      <c r="AO57" s="41"/>
    </row>
    <row r="58" spans="1:41" ht="14.1" customHeight="1">
      <c r="A58" s="42">
        <v>30</v>
      </c>
      <c r="B58" s="52"/>
      <c r="C58" s="28"/>
      <c r="D58" s="43"/>
      <c r="E58" s="43"/>
      <c r="F58" s="43"/>
      <c r="G58" s="43"/>
      <c r="H58" s="43"/>
      <c r="I58" s="22"/>
      <c r="J58" s="43"/>
      <c r="K58" s="43"/>
      <c r="L58" s="43"/>
      <c r="M58" s="43"/>
      <c r="N58" s="98"/>
      <c r="O58" s="43"/>
      <c r="P58" s="22"/>
      <c r="Q58" s="43"/>
      <c r="R58" s="43"/>
      <c r="S58" s="43"/>
      <c r="T58" s="43"/>
      <c r="U58" s="43"/>
      <c r="V58" s="43"/>
      <c r="W58" s="22"/>
      <c r="X58" s="43"/>
      <c r="Y58" s="43"/>
      <c r="Z58" s="43"/>
      <c r="AA58" s="43"/>
      <c r="AB58" s="43"/>
      <c r="AC58" s="43"/>
      <c r="AD58" s="22"/>
      <c r="AE58" s="43"/>
      <c r="AF58" s="43"/>
      <c r="AG58" s="43"/>
      <c r="AH58" s="43"/>
      <c r="AI58" s="43"/>
      <c r="AJ58" s="46">
        <f t="shared" si="5"/>
        <v>0</v>
      </c>
      <c r="AK58" s="46">
        <f t="shared" si="6"/>
        <v>0</v>
      </c>
      <c r="AL58" s="39"/>
      <c r="AM58" s="40"/>
      <c r="AN58" s="40"/>
      <c r="AO58" s="41"/>
    </row>
    <row r="59" spans="1:41" ht="14.1" customHeight="1">
      <c r="A59" s="42">
        <v>31</v>
      </c>
      <c r="B59" s="52"/>
      <c r="C59" s="28"/>
      <c r="D59" s="43"/>
      <c r="E59" s="43"/>
      <c r="F59" s="43"/>
      <c r="G59" s="43"/>
      <c r="H59" s="43"/>
      <c r="I59" s="22"/>
      <c r="J59" s="43"/>
      <c r="K59" s="43"/>
      <c r="L59" s="43"/>
      <c r="M59" s="43"/>
      <c r="N59" s="98"/>
      <c r="O59" s="43"/>
      <c r="P59" s="22"/>
      <c r="Q59" s="43"/>
      <c r="R59" s="43"/>
      <c r="S59" s="43"/>
      <c r="T59" s="43"/>
      <c r="U59" s="43"/>
      <c r="V59" s="43"/>
      <c r="W59" s="22"/>
      <c r="X59" s="43"/>
      <c r="Y59" s="43"/>
      <c r="Z59" s="43"/>
      <c r="AA59" s="43"/>
      <c r="AB59" s="43"/>
      <c r="AC59" s="43"/>
      <c r="AD59" s="22"/>
      <c r="AE59" s="43"/>
      <c r="AF59" s="43"/>
      <c r="AG59" s="43"/>
      <c r="AH59" s="43"/>
      <c r="AI59" s="43"/>
      <c r="AJ59" s="46">
        <f t="shared" si="5"/>
        <v>0</v>
      </c>
      <c r="AK59" s="46">
        <f t="shared" si="6"/>
        <v>0</v>
      </c>
      <c r="AL59" s="39"/>
      <c r="AM59" s="40"/>
      <c r="AN59" s="40"/>
      <c r="AO59" s="41"/>
    </row>
    <row r="60" spans="1:41" ht="14.1" customHeight="1">
      <c r="A60" s="42">
        <v>32</v>
      </c>
      <c r="B60" s="52"/>
      <c r="C60" s="28"/>
      <c r="D60" s="43"/>
      <c r="E60" s="43"/>
      <c r="F60" s="43"/>
      <c r="G60" s="43"/>
      <c r="H60" s="43"/>
      <c r="I60" s="22"/>
      <c r="J60" s="43"/>
      <c r="K60" s="43"/>
      <c r="L60" s="43"/>
      <c r="M60" s="43"/>
      <c r="N60" s="98"/>
      <c r="O60" s="43"/>
      <c r="P60" s="22"/>
      <c r="Q60" s="43"/>
      <c r="R60" s="43"/>
      <c r="S60" s="43"/>
      <c r="T60" s="43"/>
      <c r="U60" s="43"/>
      <c r="V60" s="43"/>
      <c r="W60" s="22"/>
      <c r="X60" s="43"/>
      <c r="Y60" s="43"/>
      <c r="Z60" s="43"/>
      <c r="AA60" s="43"/>
      <c r="AB60" s="43"/>
      <c r="AC60" s="43"/>
      <c r="AD60" s="22"/>
      <c r="AE60" s="43"/>
      <c r="AF60" s="43"/>
      <c r="AG60" s="43"/>
      <c r="AH60" s="43"/>
      <c r="AI60" s="43"/>
      <c r="AJ60" s="46">
        <f t="shared" si="5"/>
        <v>0</v>
      </c>
      <c r="AK60" s="46">
        <f t="shared" si="6"/>
        <v>0</v>
      </c>
      <c r="AL60" s="39"/>
      <c r="AM60" s="40"/>
      <c r="AN60" s="40"/>
      <c r="AO60" s="41"/>
    </row>
    <row r="61" spans="1:41" ht="14.1" customHeight="1">
      <c r="A61" s="42">
        <v>33</v>
      </c>
      <c r="B61" s="52"/>
      <c r="C61" s="28"/>
      <c r="D61" s="43"/>
      <c r="E61" s="43"/>
      <c r="F61" s="43"/>
      <c r="G61" s="43"/>
      <c r="H61" s="43"/>
      <c r="I61" s="22"/>
      <c r="J61" s="43"/>
      <c r="K61" s="43"/>
      <c r="L61" s="43"/>
      <c r="M61" s="43"/>
      <c r="N61" s="98"/>
      <c r="O61" s="43"/>
      <c r="P61" s="22"/>
      <c r="Q61" s="43"/>
      <c r="R61" s="43"/>
      <c r="S61" s="43"/>
      <c r="T61" s="43"/>
      <c r="U61" s="43"/>
      <c r="V61" s="43"/>
      <c r="W61" s="22"/>
      <c r="X61" s="43"/>
      <c r="Y61" s="43"/>
      <c r="Z61" s="43"/>
      <c r="AA61" s="43"/>
      <c r="AB61" s="43"/>
      <c r="AC61" s="43"/>
      <c r="AD61" s="22"/>
      <c r="AE61" s="43"/>
      <c r="AF61" s="43"/>
      <c r="AG61" s="43"/>
      <c r="AH61" s="43"/>
      <c r="AI61" s="43"/>
      <c r="AJ61" s="46">
        <f t="shared" si="5"/>
        <v>0</v>
      </c>
      <c r="AK61" s="46">
        <f t="shared" si="6"/>
        <v>0</v>
      </c>
      <c r="AL61" s="39"/>
      <c r="AM61" s="40"/>
      <c r="AN61" s="40"/>
      <c r="AO61" s="41"/>
    </row>
    <row r="62" spans="1:41" ht="14.1" customHeight="1">
      <c r="A62" s="42">
        <v>34</v>
      </c>
      <c r="B62" s="56"/>
      <c r="C62" s="28"/>
      <c r="D62" s="43"/>
      <c r="E62" s="43"/>
      <c r="F62" s="43"/>
      <c r="G62" s="43"/>
      <c r="H62" s="43"/>
      <c r="I62" s="22"/>
      <c r="J62" s="43"/>
      <c r="K62" s="43"/>
      <c r="L62" s="43"/>
      <c r="M62" s="43"/>
      <c r="N62" s="98"/>
      <c r="O62" s="43"/>
      <c r="P62" s="22"/>
      <c r="Q62" s="43"/>
      <c r="R62" s="43"/>
      <c r="S62" s="43"/>
      <c r="T62" s="43"/>
      <c r="U62" s="43"/>
      <c r="V62" s="43"/>
      <c r="W62" s="22"/>
      <c r="X62" s="43"/>
      <c r="Y62" s="43"/>
      <c r="Z62" s="43"/>
      <c r="AA62" s="43"/>
      <c r="AB62" s="43"/>
      <c r="AC62" s="43"/>
      <c r="AD62" s="22"/>
      <c r="AE62" s="43"/>
      <c r="AF62" s="43"/>
      <c r="AG62" s="43"/>
      <c r="AH62" s="43"/>
      <c r="AI62" s="43"/>
      <c r="AJ62" s="46">
        <f t="shared" si="5"/>
        <v>0</v>
      </c>
      <c r="AK62" s="46">
        <f t="shared" si="6"/>
        <v>0</v>
      </c>
      <c r="AL62" s="39"/>
      <c r="AM62" s="40"/>
      <c r="AN62" s="40"/>
      <c r="AO62" s="41"/>
    </row>
    <row r="63" spans="1:41" ht="14.1" customHeight="1">
      <c r="A63" s="42">
        <v>35</v>
      </c>
      <c r="B63" s="52"/>
      <c r="C63" s="28"/>
      <c r="D63" s="43"/>
      <c r="E63" s="43"/>
      <c r="F63" s="43"/>
      <c r="G63" s="43"/>
      <c r="H63" s="43"/>
      <c r="I63" s="22"/>
      <c r="J63" s="43"/>
      <c r="K63" s="43"/>
      <c r="L63" s="43"/>
      <c r="M63" s="43"/>
      <c r="N63" s="98"/>
      <c r="O63" s="43"/>
      <c r="P63" s="22"/>
      <c r="Q63" s="43"/>
      <c r="R63" s="43"/>
      <c r="S63" s="43"/>
      <c r="T63" s="43"/>
      <c r="U63" s="43"/>
      <c r="V63" s="43"/>
      <c r="W63" s="22"/>
      <c r="X63" s="43"/>
      <c r="Y63" s="43"/>
      <c r="Z63" s="43"/>
      <c r="AA63" s="43"/>
      <c r="AB63" s="43"/>
      <c r="AC63" s="43"/>
      <c r="AD63" s="22"/>
      <c r="AE63" s="43"/>
      <c r="AF63" s="43"/>
      <c r="AG63" s="43"/>
      <c r="AH63" s="43"/>
      <c r="AI63" s="43"/>
      <c r="AJ63" s="46">
        <f t="shared" si="5"/>
        <v>0</v>
      </c>
      <c r="AK63" s="46">
        <f t="shared" si="6"/>
        <v>0</v>
      </c>
      <c r="AL63" s="150"/>
      <c r="AM63" s="151"/>
      <c r="AN63" s="151"/>
      <c r="AO63" s="152"/>
    </row>
    <row r="64" spans="1:41" ht="14.1" customHeight="1" thickBot="1">
      <c r="A64" s="50">
        <v>36</v>
      </c>
      <c r="B64" s="57"/>
      <c r="C64" s="28"/>
      <c r="D64" s="43"/>
      <c r="E64" s="43"/>
      <c r="F64" s="43"/>
      <c r="G64" s="43"/>
      <c r="H64" s="43"/>
      <c r="I64" s="22"/>
      <c r="J64" s="43"/>
      <c r="K64" s="43"/>
      <c r="L64" s="43"/>
      <c r="M64" s="43"/>
      <c r="N64" s="98"/>
      <c r="O64" s="43"/>
      <c r="P64" s="22"/>
      <c r="Q64" s="43"/>
      <c r="R64" s="43"/>
      <c r="S64" s="43"/>
      <c r="T64" s="43"/>
      <c r="U64" s="43"/>
      <c r="V64" s="43"/>
      <c r="W64" s="22"/>
      <c r="X64" s="43"/>
      <c r="Y64" s="43"/>
      <c r="Z64" s="43"/>
      <c r="AA64" s="43"/>
      <c r="AB64" s="43"/>
      <c r="AC64" s="43"/>
      <c r="AD64" s="22"/>
      <c r="AE64" s="43"/>
      <c r="AF64" s="43"/>
      <c r="AG64" s="43"/>
      <c r="AH64" s="43"/>
      <c r="AI64" s="43"/>
      <c r="AJ64" s="46">
        <f t="shared" si="5"/>
        <v>0</v>
      </c>
      <c r="AK64" s="46">
        <f t="shared" si="6"/>
        <v>0</v>
      </c>
      <c r="AL64" s="150"/>
      <c r="AM64" s="151"/>
      <c r="AN64" s="151"/>
      <c r="AO64" s="152"/>
    </row>
    <row r="65" spans="1:41" ht="15.75" thickBot="1">
      <c r="A65" s="139" t="s">
        <v>35</v>
      </c>
      <c r="B65" s="140"/>
      <c r="C65" s="48">
        <f>ROWS(C29:C64) - COUNTIF(C29:C64,"X")</f>
        <v>36</v>
      </c>
      <c r="D65" s="48">
        <f>ROWS(D29:D64) - COUNTIF(D29:D64,"X")</f>
        <v>36</v>
      </c>
      <c r="E65" s="48">
        <f t="shared" ref="E65:H65" si="7">ROWS(E29:E64) - COUNTIF(E29:E64,"X")</f>
        <v>36</v>
      </c>
      <c r="F65" s="48">
        <f t="shared" si="7"/>
        <v>36</v>
      </c>
      <c r="G65" s="48">
        <f t="shared" si="7"/>
        <v>36</v>
      </c>
      <c r="H65" s="48">
        <f t="shared" si="7"/>
        <v>36</v>
      </c>
      <c r="I65" s="45">
        <f t="shared" ref="I65:AD65" si="8">COUNTIF(I29:I64,"X")</f>
        <v>0</v>
      </c>
      <c r="J65" s="48">
        <f t="shared" ref="J65:O65" si="9">ROWS(J29:J64) - COUNTIF(J29:J64,"X")</f>
        <v>36</v>
      </c>
      <c r="K65" s="48">
        <f t="shared" si="9"/>
        <v>36</v>
      </c>
      <c r="L65" s="48">
        <f t="shared" si="9"/>
        <v>36</v>
      </c>
      <c r="M65" s="48">
        <f t="shared" si="9"/>
        <v>36</v>
      </c>
      <c r="N65" s="98"/>
      <c r="O65" s="48">
        <f t="shared" si="9"/>
        <v>36</v>
      </c>
      <c r="P65" s="45">
        <f t="shared" si="8"/>
        <v>0</v>
      </c>
      <c r="Q65" s="48">
        <f t="shared" ref="Q65:V65" si="10">ROWS(Q29:Q64) - COUNTIF(Q29:Q64,"X")</f>
        <v>36</v>
      </c>
      <c r="R65" s="48">
        <f t="shared" si="10"/>
        <v>36</v>
      </c>
      <c r="S65" s="48">
        <f t="shared" si="10"/>
        <v>36</v>
      </c>
      <c r="T65" s="48">
        <f t="shared" si="10"/>
        <v>36</v>
      </c>
      <c r="U65" s="48">
        <f t="shared" si="10"/>
        <v>36</v>
      </c>
      <c r="V65" s="48">
        <f t="shared" si="10"/>
        <v>36</v>
      </c>
      <c r="W65" s="45">
        <f t="shared" si="8"/>
        <v>0</v>
      </c>
      <c r="X65" s="48">
        <f t="shared" ref="X65:AC65" si="11">ROWS(X29:X64) - COUNTIF(X29:X64,"X")</f>
        <v>36</v>
      </c>
      <c r="Y65" s="48">
        <f t="shared" si="11"/>
        <v>36</v>
      </c>
      <c r="Z65" s="48">
        <f t="shared" si="11"/>
        <v>36</v>
      </c>
      <c r="AA65" s="48">
        <f t="shared" si="11"/>
        <v>36</v>
      </c>
      <c r="AB65" s="48">
        <f t="shared" si="11"/>
        <v>36</v>
      </c>
      <c r="AC65" s="48">
        <f t="shared" si="11"/>
        <v>36</v>
      </c>
      <c r="AD65" s="45">
        <f t="shared" si="8"/>
        <v>0</v>
      </c>
      <c r="AE65" s="48">
        <f t="shared" ref="AE65:AF65" si="12">ROWS(AE29:AE64) - COUNTIF(AE29:AE64,"X")</f>
        <v>36</v>
      </c>
      <c r="AF65" s="48">
        <f t="shared" si="12"/>
        <v>36</v>
      </c>
      <c r="AG65" s="48"/>
      <c r="AH65" s="48"/>
      <c r="AI65" s="48"/>
      <c r="AJ65" s="47">
        <f>SUM(AJ29:AJ64)</f>
        <v>0</v>
      </c>
      <c r="AK65" s="47">
        <f>SUM(AK29:AK64)</f>
        <v>0</v>
      </c>
      <c r="AL65" s="141">
        <f>SUM(C65:AI65)</f>
        <v>900</v>
      </c>
      <c r="AM65" s="141"/>
      <c r="AN65" s="141"/>
      <c r="AO65" s="142"/>
    </row>
    <row r="66" spans="1:41" ht="15" customHeight="1" thickBot="1">
      <c r="A66" s="139" t="s">
        <v>36</v>
      </c>
      <c r="B66" s="140"/>
      <c r="C66" s="44">
        <f t="shared" ref="C66:H66" si="13">SUM(C28,C65)</f>
        <v>36</v>
      </c>
      <c r="D66" s="44">
        <f t="shared" si="13"/>
        <v>36</v>
      </c>
      <c r="E66" s="44">
        <f t="shared" si="13"/>
        <v>36</v>
      </c>
      <c r="F66" s="44">
        <f t="shared" si="13"/>
        <v>36</v>
      </c>
      <c r="G66" s="44">
        <f t="shared" si="13"/>
        <v>36</v>
      </c>
      <c r="H66" s="44">
        <f t="shared" si="13"/>
        <v>36</v>
      </c>
      <c r="I66" s="21"/>
      <c r="J66" s="44">
        <f t="shared" ref="J66:O66" si="14">SUM(J28,J65)</f>
        <v>36</v>
      </c>
      <c r="K66" s="44">
        <f t="shared" si="14"/>
        <v>36</v>
      </c>
      <c r="L66" s="44">
        <f t="shared" si="14"/>
        <v>36</v>
      </c>
      <c r="M66" s="44">
        <f t="shared" si="14"/>
        <v>36</v>
      </c>
      <c r="N66" s="99"/>
      <c r="O66" s="44">
        <f t="shared" si="14"/>
        <v>36</v>
      </c>
      <c r="P66" s="21"/>
      <c r="Q66" s="44">
        <f t="shared" ref="Q66:V66" si="15">SUM(Q28,Q65)</f>
        <v>36</v>
      </c>
      <c r="R66" s="44">
        <f t="shared" si="15"/>
        <v>50</v>
      </c>
      <c r="S66" s="44">
        <f t="shared" si="15"/>
        <v>50</v>
      </c>
      <c r="T66" s="44">
        <f t="shared" si="15"/>
        <v>50</v>
      </c>
      <c r="U66" s="44">
        <f t="shared" si="15"/>
        <v>50</v>
      </c>
      <c r="V66" s="44">
        <f t="shared" si="15"/>
        <v>36</v>
      </c>
      <c r="W66" s="21"/>
      <c r="X66" s="44">
        <f t="shared" ref="X66:AC66" si="16">SUM(X28,X65)</f>
        <v>50</v>
      </c>
      <c r="Y66" s="44">
        <f t="shared" si="16"/>
        <v>50</v>
      </c>
      <c r="Z66" s="44">
        <f t="shared" si="16"/>
        <v>50</v>
      </c>
      <c r="AA66" s="44">
        <f t="shared" si="16"/>
        <v>50</v>
      </c>
      <c r="AB66" s="44">
        <f t="shared" si="16"/>
        <v>50</v>
      </c>
      <c r="AC66" s="44">
        <f t="shared" si="16"/>
        <v>36</v>
      </c>
      <c r="AD66" s="21"/>
      <c r="AE66" s="44">
        <f t="shared" ref="AE66:AK66" si="17">SUM(AE28,AE65)</f>
        <v>36</v>
      </c>
      <c r="AF66" s="44">
        <f t="shared" si="17"/>
        <v>50</v>
      </c>
      <c r="AG66" s="44"/>
      <c r="AH66" s="44"/>
      <c r="AI66" s="44"/>
      <c r="AJ66" s="47">
        <f t="shared" si="17"/>
        <v>0</v>
      </c>
      <c r="AK66" s="47">
        <f t="shared" si="17"/>
        <v>0</v>
      </c>
      <c r="AL66" s="141">
        <f>SUM(C66:AI66)</f>
        <v>1040</v>
      </c>
      <c r="AM66" s="141"/>
      <c r="AN66" s="141"/>
      <c r="AO66" s="142"/>
    </row>
    <row r="67" spans="1:41" ht="15.75" thickBot="1"/>
    <row r="68" spans="1:41" ht="38.25" customHeight="1">
      <c r="A68" s="143" t="s">
        <v>52</v>
      </c>
      <c r="B68" s="143"/>
      <c r="C68" s="8"/>
      <c r="T68" s="144" t="s">
        <v>54</v>
      </c>
      <c r="U68" s="145"/>
      <c r="V68" s="145"/>
      <c r="W68" s="145"/>
      <c r="X68" s="145"/>
      <c r="Y68" s="145"/>
      <c r="Z68" s="145"/>
      <c r="AA68" s="145"/>
      <c r="AB68" s="145"/>
      <c r="AC68" s="145"/>
      <c r="AD68" s="145"/>
      <c r="AE68" s="145"/>
      <c r="AF68" s="145"/>
      <c r="AG68" s="146"/>
      <c r="AH68" s="37"/>
      <c r="AI68" s="30"/>
      <c r="AJ68" s="84" t="s">
        <v>12</v>
      </c>
      <c r="AK68" s="147" t="s">
        <v>13</v>
      </c>
      <c r="AL68" s="147"/>
      <c r="AM68" s="148" t="s">
        <v>15</v>
      </c>
      <c r="AN68" s="148"/>
      <c r="AO68" s="149"/>
    </row>
    <row r="69" spans="1:41"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29"/>
      <c r="AJ69" s="70" t="s">
        <v>112</v>
      </c>
      <c r="AK69" s="134">
        <v>12</v>
      </c>
      <c r="AL69" s="134"/>
      <c r="AM69" s="83" t="s">
        <v>16</v>
      </c>
      <c r="AN69" s="83" t="s">
        <v>17</v>
      </c>
      <c r="AO69" s="71" t="s">
        <v>18</v>
      </c>
    </row>
    <row r="70" spans="1:41"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29"/>
      <c r="AJ70" s="126" t="s">
        <v>19</v>
      </c>
      <c r="AK70" s="127"/>
      <c r="AL70" s="127"/>
      <c r="AM70" s="79">
        <v>14</v>
      </c>
      <c r="AN70" s="79">
        <v>36</v>
      </c>
      <c r="AO70" s="80">
        <f>AM70+AN70</f>
        <v>50</v>
      </c>
    </row>
    <row r="71" spans="1:41" ht="29.1" customHeight="1" thickBot="1">
      <c r="B71" s="133" t="s">
        <v>77</v>
      </c>
      <c r="C71" s="124" t="s">
        <v>21</v>
      </c>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0"/>
      <c r="AJ71" s="126" t="s">
        <v>20</v>
      </c>
      <c r="AK71" s="127"/>
      <c r="AL71" s="127"/>
      <c r="AM71" s="79">
        <v>0</v>
      </c>
      <c r="AN71" s="79">
        <v>0</v>
      </c>
      <c r="AO71" s="80">
        <v>0</v>
      </c>
    </row>
    <row r="72" spans="1:41" ht="29.1" customHeight="1">
      <c r="B72" s="133"/>
      <c r="C72" s="132" t="s">
        <v>75</v>
      </c>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0"/>
      <c r="AJ72" s="126" t="s">
        <v>21</v>
      </c>
      <c r="AK72" s="127"/>
      <c r="AL72" s="127"/>
      <c r="AM72" s="79">
        <v>14</v>
      </c>
      <c r="AN72" s="79">
        <v>36</v>
      </c>
      <c r="AO72" s="80">
        <f>AM72+AN72</f>
        <v>50</v>
      </c>
    </row>
    <row r="73" spans="1:41" ht="29.1" customHeight="1" thickBot="1">
      <c r="B73" s="133" t="s">
        <v>80</v>
      </c>
      <c r="C73" s="124" t="s">
        <v>78</v>
      </c>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16"/>
      <c r="AJ73" s="126" t="s">
        <v>22</v>
      </c>
      <c r="AK73" s="127"/>
      <c r="AL73" s="127"/>
      <c r="AM73" s="81">
        <v>1</v>
      </c>
      <c r="AN73" s="81">
        <v>1</v>
      </c>
      <c r="AO73" s="82">
        <v>1</v>
      </c>
    </row>
    <row r="74" spans="1:41" ht="29.1" customHeight="1">
      <c r="B74" s="133"/>
      <c r="C74" s="132" t="s">
        <v>79</v>
      </c>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29"/>
      <c r="AJ74" s="121" t="s">
        <v>99</v>
      </c>
      <c r="AK74" s="122"/>
      <c r="AL74" s="122"/>
      <c r="AM74" s="79">
        <v>14</v>
      </c>
      <c r="AN74" s="79">
        <v>36</v>
      </c>
      <c r="AO74" s="80">
        <f>AM74+AN74</f>
        <v>50</v>
      </c>
    </row>
    <row r="75" spans="1:41" ht="29.1" customHeight="1">
      <c r="T75" s="100"/>
      <c r="U75" s="101"/>
      <c r="V75" s="101"/>
      <c r="W75" s="101"/>
      <c r="X75" s="101"/>
      <c r="Y75" s="101"/>
      <c r="Z75" s="101"/>
      <c r="AA75" s="101"/>
      <c r="AB75" s="101"/>
      <c r="AC75" s="101"/>
      <c r="AD75" s="101"/>
      <c r="AE75" s="101"/>
      <c r="AF75" s="101"/>
      <c r="AG75" s="102"/>
      <c r="AH75" s="36"/>
      <c r="AI75" s="29"/>
      <c r="AJ75" s="121" t="s">
        <v>98</v>
      </c>
      <c r="AK75" s="122"/>
      <c r="AL75" s="122"/>
      <c r="AM75" s="81">
        <v>1</v>
      </c>
      <c r="AN75" s="81">
        <v>1</v>
      </c>
      <c r="AO75" s="82">
        <v>1</v>
      </c>
    </row>
    <row r="76" spans="1:41" s="2" customFormat="1" ht="29.1" customHeight="1" thickBot="1">
      <c r="B76" s="123" t="s">
        <v>82</v>
      </c>
      <c r="C76" s="124" t="s">
        <v>81</v>
      </c>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29"/>
      <c r="AJ76" s="126" t="s">
        <v>23</v>
      </c>
      <c r="AK76" s="127"/>
      <c r="AL76" s="127"/>
      <c r="AM76" s="79">
        <v>0</v>
      </c>
      <c r="AN76" s="79">
        <v>0</v>
      </c>
      <c r="AO76" s="80">
        <v>0</v>
      </c>
    </row>
    <row r="77" spans="1:41" s="2" customFormat="1" ht="23.25" customHeight="1">
      <c r="B77" s="123"/>
      <c r="C77" s="128" t="s">
        <v>21</v>
      </c>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16"/>
      <c r="AJ77" s="129"/>
      <c r="AK77" s="130"/>
      <c r="AL77" s="130"/>
      <c r="AM77" s="130"/>
      <c r="AN77" s="130"/>
      <c r="AO77" s="131"/>
    </row>
    <row r="78" spans="1:41" s="2" customFormat="1" ht="23.25" customHeight="1">
      <c r="Q78" s="3"/>
      <c r="R78" s="3"/>
      <c r="S78" s="3"/>
      <c r="T78" s="100" t="s">
        <v>60</v>
      </c>
      <c r="U78" s="101"/>
      <c r="V78" s="101"/>
      <c r="W78" s="101"/>
      <c r="X78" s="101"/>
      <c r="Y78" s="101"/>
      <c r="Z78" s="101"/>
      <c r="AA78" s="101"/>
      <c r="AB78" s="101"/>
      <c r="AC78" s="101"/>
      <c r="AD78" s="101"/>
      <c r="AE78" s="101"/>
      <c r="AF78" s="101"/>
      <c r="AG78" s="102"/>
      <c r="AH78" s="36"/>
      <c r="AI78" s="29"/>
      <c r="AJ78" s="115" t="s">
        <v>24</v>
      </c>
      <c r="AK78" s="116"/>
      <c r="AL78" s="116"/>
      <c r="AM78" s="74">
        <v>0</v>
      </c>
      <c r="AN78" s="74">
        <v>0</v>
      </c>
      <c r="AO78" s="75">
        <v>0</v>
      </c>
    </row>
    <row r="79" spans="1:41"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29"/>
      <c r="AJ79" s="118" t="s">
        <v>25</v>
      </c>
      <c r="AK79" s="119"/>
      <c r="AL79" s="119"/>
      <c r="AM79" s="76">
        <v>0</v>
      </c>
      <c r="AN79" s="76">
        <v>0</v>
      </c>
      <c r="AO79" s="75">
        <v>0</v>
      </c>
    </row>
    <row r="80" spans="1:41"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29"/>
      <c r="AJ80" s="118" t="s">
        <v>26</v>
      </c>
      <c r="AK80" s="119"/>
      <c r="AL80" s="119"/>
      <c r="AM80" s="76">
        <v>0</v>
      </c>
      <c r="AN80" s="76">
        <v>0</v>
      </c>
      <c r="AO80" s="75">
        <v>0</v>
      </c>
    </row>
    <row r="81" spans="1:43" ht="25.5" customHeight="1">
      <c r="A81" s="34" t="s">
        <v>85</v>
      </c>
      <c r="T81" s="100"/>
      <c r="U81" s="101"/>
      <c r="V81" s="101"/>
      <c r="W81" s="101"/>
      <c r="X81" s="101"/>
      <c r="Y81" s="101"/>
      <c r="Z81" s="101"/>
      <c r="AA81" s="101"/>
      <c r="AB81" s="101"/>
      <c r="AC81" s="101"/>
      <c r="AD81" s="101"/>
      <c r="AE81" s="101"/>
      <c r="AF81" s="101"/>
      <c r="AG81" s="102"/>
      <c r="AH81" s="36"/>
      <c r="AI81" s="29"/>
      <c r="AJ81" s="118" t="s">
        <v>27</v>
      </c>
      <c r="AK81" s="119"/>
      <c r="AL81" s="119"/>
      <c r="AM81" s="76">
        <v>0</v>
      </c>
      <c r="AN81" s="76">
        <v>0</v>
      </c>
      <c r="AO81" s="75">
        <v>0</v>
      </c>
    </row>
    <row r="82" spans="1:43" ht="25.5" customHeight="1" thickBot="1">
      <c r="T82" s="103" t="s">
        <v>61</v>
      </c>
      <c r="U82" s="104"/>
      <c r="V82" s="104"/>
      <c r="W82" s="104"/>
      <c r="X82" s="104"/>
      <c r="Y82" s="104"/>
      <c r="Z82" s="104"/>
      <c r="AA82" s="104"/>
      <c r="AB82" s="104"/>
      <c r="AC82" s="104"/>
      <c r="AD82" s="104"/>
      <c r="AE82" s="104"/>
      <c r="AF82" s="104"/>
      <c r="AG82" s="105"/>
      <c r="AH82" s="38"/>
      <c r="AI82" s="16"/>
      <c r="AJ82" s="111" t="s">
        <v>28</v>
      </c>
      <c r="AK82" s="112"/>
      <c r="AL82" s="112"/>
      <c r="AM82" s="77">
        <v>0</v>
      </c>
      <c r="AN82" s="77">
        <v>0</v>
      </c>
      <c r="AO82" s="78">
        <v>0</v>
      </c>
      <c r="AP82" s="13"/>
      <c r="AQ82" s="13"/>
    </row>
    <row r="83" spans="1:43" ht="15" customHeight="1">
      <c r="T83" s="100" t="s">
        <v>62</v>
      </c>
      <c r="U83" s="101"/>
      <c r="V83" s="101"/>
      <c r="W83" s="101"/>
      <c r="X83" s="101"/>
      <c r="Y83" s="101"/>
      <c r="Z83" s="101"/>
      <c r="AA83" s="101"/>
      <c r="AB83" s="101"/>
      <c r="AC83" s="101"/>
      <c r="AD83" s="101"/>
      <c r="AE83" s="101"/>
      <c r="AF83" s="101"/>
      <c r="AG83" s="102"/>
      <c r="AH83" s="36"/>
      <c r="AI83" s="29"/>
      <c r="AJ83" s="10"/>
      <c r="AK83" s="10"/>
      <c r="AL83" s="10"/>
      <c r="AM83" s="10"/>
      <c r="AN83" s="10"/>
      <c r="AO83" s="10"/>
      <c r="AP83" s="10"/>
      <c r="AQ83" s="10"/>
    </row>
    <row r="84" spans="1:43">
      <c r="T84" s="100"/>
      <c r="U84" s="101"/>
      <c r="V84" s="101"/>
      <c r="W84" s="101"/>
      <c r="X84" s="101"/>
      <c r="Y84" s="101"/>
      <c r="Z84" s="101"/>
      <c r="AA84" s="101"/>
      <c r="AB84" s="101"/>
      <c r="AC84" s="101"/>
      <c r="AD84" s="101"/>
      <c r="AE84" s="101"/>
      <c r="AF84" s="101"/>
      <c r="AG84" s="102"/>
      <c r="AH84" s="36"/>
      <c r="AI84" s="29"/>
      <c r="AP84" s="14"/>
      <c r="AQ84" s="14"/>
    </row>
    <row r="85" spans="1:43" ht="15.75" thickBot="1">
      <c r="T85" s="100"/>
      <c r="U85" s="101"/>
      <c r="V85" s="101"/>
      <c r="W85" s="101"/>
      <c r="X85" s="101"/>
      <c r="Y85" s="101"/>
      <c r="Z85" s="101"/>
      <c r="AA85" s="101"/>
      <c r="AB85" s="101"/>
      <c r="AC85" s="101"/>
      <c r="AD85" s="101"/>
      <c r="AE85" s="101"/>
      <c r="AF85" s="101"/>
      <c r="AG85" s="102"/>
      <c r="AH85" s="36"/>
      <c r="AI85" s="29"/>
      <c r="AJ85" s="113" t="s">
        <v>108</v>
      </c>
      <c r="AK85" s="113"/>
      <c r="AL85" s="113"/>
      <c r="AM85" s="113"/>
      <c r="AN85" s="113"/>
      <c r="AO85" s="113"/>
      <c r="AP85" s="15"/>
      <c r="AQ85" s="15"/>
    </row>
    <row r="86" spans="1:43" ht="15" customHeight="1">
      <c r="T86" s="103" t="s">
        <v>63</v>
      </c>
      <c r="U86" s="104"/>
      <c r="V86" s="104"/>
      <c r="W86" s="104"/>
      <c r="X86" s="104"/>
      <c r="Y86" s="104"/>
      <c r="Z86" s="104"/>
      <c r="AA86" s="104"/>
      <c r="AB86" s="104"/>
      <c r="AC86" s="104"/>
      <c r="AD86" s="104"/>
      <c r="AE86" s="104"/>
      <c r="AF86" s="104"/>
      <c r="AG86" s="105"/>
      <c r="AH86" s="38"/>
      <c r="AI86" s="16"/>
      <c r="AJ86" s="114" t="s">
        <v>72</v>
      </c>
      <c r="AK86" s="114"/>
      <c r="AL86" s="114"/>
      <c r="AM86" s="114"/>
      <c r="AN86" s="114"/>
      <c r="AO86" s="114"/>
    </row>
    <row r="87" spans="1:43" ht="15" customHeight="1">
      <c r="T87" s="100" t="s">
        <v>64</v>
      </c>
      <c r="U87" s="101"/>
      <c r="V87" s="101"/>
      <c r="W87" s="101"/>
      <c r="X87" s="101"/>
      <c r="Y87" s="101"/>
      <c r="Z87" s="101"/>
      <c r="AA87" s="101"/>
      <c r="AB87" s="101"/>
      <c r="AC87" s="101"/>
      <c r="AD87" s="101"/>
      <c r="AE87" s="101"/>
      <c r="AF87" s="101"/>
      <c r="AG87" s="102"/>
      <c r="AH87" s="36"/>
      <c r="AI87" s="29"/>
    </row>
    <row r="88" spans="1:43">
      <c r="T88" s="100"/>
      <c r="U88" s="101"/>
      <c r="V88" s="101"/>
      <c r="W88" s="101"/>
      <c r="X88" s="101"/>
      <c r="Y88" s="101"/>
      <c r="Z88" s="101"/>
      <c r="AA88" s="101"/>
      <c r="AB88" s="101"/>
      <c r="AC88" s="101"/>
      <c r="AD88" s="101"/>
      <c r="AE88" s="101"/>
      <c r="AF88" s="101"/>
      <c r="AG88" s="102"/>
      <c r="AH88" s="36"/>
      <c r="AI88" s="29"/>
      <c r="AJ88" s="12" t="s">
        <v>73</v>
      </c>
    </row>
    <row r="89" spans="1:43">
      <c r="T89" s="100"/>
      <c r="U89" s="101"/>
      <c r="V89" s="101"/>
      <c r="W89" s="101"/>
      <c r="X89" s="101"/>
      <c r="Y89" s="101"/>
      <c r="Z89" s="101"/>
      <c r="AA89" s="101"/>
      <c r="AB89" s="101"/>
      <c r="AC89" s="101"/>
      <c r="AD89" s="101"/>
      <c r="AE89" s="101"/>
      <c r="AF89" s="101"/>
      <c r="AG89" s="102"/>
      <c r="AH89" s="36"/>
      <c r="AI89" s="29"/>
    </row>
    <row r="90" spans="1:43" ht="15" customHeight="1">
      <c r="T90" s="103" t="s">
        <v>65</v>
      </c>
      <c r="U90" s="104"/>
      <c r="V90" s="104"/>
      <c r="W90" s="104"/>
      <c r="X90" s="104"/>
      <c r="Y90" s="104"/>
      <c r="Z90" s="104"/>
      <c r="AA90" s="104"/>
      <c r="AB90" s="104"/>
      <c r="AC90" s="104"/>
      <c r="AD90" s="104"/>
      <c r="AE90" s="104"/>
      <c r="AF90" s="104"/>
      <c r="AG90" s="105"/>
      <c r="AH90" s="38"/>
      <c r="AI90" s="16"/>
    </row>
    <row r="91" spans="1:43" ht="15.75" customHeight="1" thickBot="1">
      <c r="T91" s="100" t="s">
        <v>66</v>
      </c>
      <c r="U91" s="101"/>
      <c r="V91" s="101"/>
      <c r="W91" s="101"/>
      <c r="X91" s="101"/>
      <c r="Y91" s="101"/>
      <c r="Z91" s="101"/>
      <c r="AA91" s="101"/>
      <c r="AB91" s="101"/>
      <c r="AC91" s="101"/>
      <c r="AD91" s="101"/>
      <c r="AE91" s="101"/>
      <c r="AF91" s="101"/>
      <c r="AG91" s="102"/>
      <c r="AH91" s="36"/>
      <c r="AI91" s="29"/>
      <c r="AJ91" s="106" t="s">
        <v>105</v>
      </c>
      <c r="AK91" s="106"/>
      <c r="AL91" s="106"/>
      <c r="AM91" s="106"/>
      <c r="AN91" s="106"/>
      <c r="AO91" s="106"/>
      <c r="AP91" s="16"/>
    </row>
    <row r="92" spans="1:43">
      <c r="T92" s="32"/>
      <c r="U92" s="13"/>
      <c r="V92" s="13"/>
      <c r="W92" s="13"/>
      <c r="X92" s="13"/>
      <c r="Y92" s="13"/>
      <c r="Z92" s="13"/>
      <c r="AA92" s="13"/>
      <c r="AB92" s="13"/>
      <c r="AC92" s="13"/>
      <c r="AD92" s="13"/>
      <c r="AE92" s="13"/>
      <c r="AF92" s="13"/>
      <c r="AG92" s="33"/>
      <c r="AH92" s="13"/>
      <c r="AI92" s="10"/>
      <c r="AJ92" s="107" t="s">
        <v>101</v>
      </c>
      <c r="AK92" s="107"/>
      <c r="AL92" s="107"/>
      <c r="AM92" s="107"/>
      <c r="AN92" s="107"/>
      <c r="AO92" s="107"/>
    </row>
    <row r="93" spans="1:43" ht="14.25" customHeight="1">
      <c r="T93" s="108" t="s">
        <v>67</v>
      </c>
      <c r="U93" s="109"/>
      <c r="V93" s="109"/>
      <c r="W93" s="109"/>
      <c r="X93" s="109"/>
      <c r="Y93" s="109"/>
      <c r="Z93" s="109"/>
      <c r="AA93" s="109"/>
      <c r="AB93" s="109"/>
      <c r="AC93" s="109"/>
      <c r="AD93" s="109"/>
      <c r="AE93" s="109"/>
      <c r="AF93" s="109"/>
      <c r="AG93" s="110"/>
      <c r="AH93" s="35"/>
      <c r="AI93" s="31"/>
    </row>
    <row r="94" spans="1:43" ht="11.25" customHeight="1">
      <c r="T94" s="91" t="s">
        <v>68</v>
      </c>
      <c r="U94" s="92"/>
      <c r="V94" s="92"/>
      <c r="W94" s="92"/>
      <c r="X94" s="92"/>
      <c r="Y94" s="92"/>
      <c r="Z94" s="92"/>
      <c r="AA94" s="92"/>
      <c r="AB94" s="92"/>
      <c r="AC94" s="92"/>
      <c r="AD94" s="92"/>
      <c r="AE94" s="92"/>
      <c r="AF94" s="92"/>
      <c r="AG94" s="93"/>
      <c r="AH94" s="11"/>
      <c r="AI94" s="15"/>
    </row>
    <row r="95" spans="1:43" ht="10.5" customHeight="1">
      <c r="T95" s="91" t="s">
        <v>69</v>
      </c>
      <c r="U95" s="92"/>
      <c r="V95" s="92"/>
      <c r="W95" s="92"/>
      <c r="X95" s="92"/>
      <c r="Y95" s="92"/>
      <c r="Z95" s="92"/>
      <c r="AA95" s="92"/>
      <c r="AB95" s="92"/>
      <c r="AC95" s="92"/>
      <c r="AD95" s="92"/>
      <c r="AE95" s="92"/>
      <c r="AF95" s="92"/>
      <c r="AG95" s="93"/>
      <c r="AH95" s="11"/>
      <c r="AI95" s="10"/>
    </row>
    <row r="96" spans="1:43" ht="12" customHeight="1">
      <c r="T96" s="91" t="s">
        <v>70</v>
      </c>
      <c r="U96" s="92"/>
      <c r="V96" s="92"/>
      <c r="W96" s="92"/>
      <c r="X96" s="92"/>
      <c r="Y96" s="92"/>
      <c r="Z96" s="92"/>
      <c r="AA96" s="92"/>
      <c r="AB96" s="92"/>
      <c r="AC96" s="92"/>
      <c r="AD96" s="92"/>
      <c r="AE96" s="92"/>
      <c r="AF96" s="92"/>
      <c r="AG96" s="93"/>
      <c r="AH96" s="11"/>
      <c r="AI96" s="15"/>
    </row>
    <row r="97" spans="20:35" ht="12" customHeight="1" thickBot="1">
      <c r="T97" s="94" t="s">
        <v>71</v>
      </c>
      <c r="U97" s="95"/>
      <c r="V97" s="95"/>
      <c r="W97" s="95"/>
      <c r="X97" s="95"/>
      <c r="Y97" s="95"/>
      <c r="Z97" s="95"/>
      <c r="AA97" s="95"/>
      <c r="AB97" s="95"/>
      <c r="AC97" s="95"/>
      <c r="AD97" s="95"/>
      <c r="AE97" s="95"/>
      <c r="AF97" s="95"/>
      <c r="AG97" s="96"/>
      <c r="AH97" s="11"/>
      <c r="AI97" s="15"/>
    </row>
  </sheetData>
  <mergeCells count="126">
    <mergeCell ref="A2:AO2"/>
    <mergeCell ref="C4:L4"/>
    <mergeCell ref="N4:R4"/>
    <mergeCell ref="S4:W4"/>
    <mergeCell ref="Z4:AB4"/>
    <mergeCell ref="AC4:AJ4"/>
    <mergeCell ref="AK4:AL4"/>
    <mergeCell ref="AM4:AO4"/>
    <mergeCell ref="AK6:AO6"/>
    <mergeCell ref="C6:L6"/>
    <mergeCell ref="N6:R6"/>
    <mergeCell ref="S6:W6"/>
    <mergeCell ref="X6:AA6"/>
    <mergeCell ref="AB6:AE6"/>
    <mergeCell ref="AI6:AJ6"/>
    <mergeCell ref="C8:L8"/>
    <mergeCell ref="M8:R8"/>
    <mergeCell ref="S8:AI8"/>
    <mergeCell ref="AK8:AO8"/>
    <mergeCell ref="A10:A13"/>
    <mergeCell ref="B10:B11"/>
    <mergeCell ref="C10:AI11"/>
    <mergeCell ref="AJ10:AK12"/>
    <mergeCell ref="AL10:AO10"/>
    <mergeCell ref="A28:B28"/>
    <mergeCell ref="AL28:AO28"/>
    <mergeCell ref="AL16:AO16"/>
    <mergeCell ref="AL17:AO17"/>
    <mergeCell ref="AL18:AO18"/>
    <mergeCell ref="AL19:AO19"/>
    <mergeCell ref="AL20:AO20"/>
    <mergeCell ref="AL21:AO21"/>
    <mergeCell ref="AL11:AO11"/>
    <mergeCell ref="B12:B13"/>
    <mergeCell ref="AL12:AO12"/>
    <mergeCell ref="AL13:AO13"/>
    <mergeCell ref="AL14:AO14"/>
    <mergeCell ref="AL15:AO15"/>
    <mergeCell ref="AL29:AO29"/>
    <mergeCell ref="AL30:AO30"/>
    <mergeCell ref="AL31:AO31"/>
    <mergeCell ref="AL32:AO32"/>
    <mergeCell ref="AL33:AO33"/>
    <mergeCell ref="AL34:AO34"/>
    <mergeCell ref="AL22:AO22"/>
    <mergeCell ref="AL23:AO23"/>
    <mergeCell ref="AL24:AO24"/>
    <mergeCell ref="AL25:AO25"/>
    <mergeCell ref="AL27:AO27"/>
    <mergeCell ref="AL41:AO41"/>
    <mergeCell ref="AL42:AO42"/>
    <mergeCell ref="AL43:AO43"/>
    <mergeCell ref="AL44:AO44"/>
    <mergeCell ref="AL45:AO45"/>
    <mergeCell ref="AL46:AO46"/>
    <mergeCell ref="AL35:AO35"/>
    <mergeCell ref="AL36:AO36"/>
    <mergeCell ref="AL37:AO37"/>
    <mergeCell ref="AL38:AO38"/>
    <mergeCell ref="AL39:AO39"/>
    <mergeCell ref="AL40:AO40"/>
    <mergeCell ref="A66:B66"/>
    <mergeCell ref="AL66:AO66"/>
    <mergeCell ref="A68:B68"/>
    <mergeCell ref="T68:AG68"/>
    <mergeCell ref="AK68:AL68"/>
    <mergeCell ref="AM68:AO68"/>
    <mergeCell ref="AL47:AO47"/>
    <mergeCell ref="AL48:AO48"/>
    <mergeCell ref="AL49:AO49"/>
    <mergeCell ref="AL63:AO63"/>
    <mergeCell ref="AL64:AO64"/>
    <mergeCell ref="A65:B65"/>
    <mergeCell ref="AL65:AO65"/>
    <mergeCell ref="A69:R69"/>
    <mergeCell ref="T69:AG70"/>
    <mergeCell ref="AK69:AL69"/>
    <mergeCell ref="A70:R70"/>
    <mergeCell ref="AJ70:AL70"/>
    <mergeCell ref="B71:B72"/>
    <mergeCell ref="C71:L71"/>
    <mergeCell ref="M71:N72"/>
    <mergeCell ref="T71:AG72"/>
    <mergeCell ref="AJ71:AL71"/>
    <mergeCell ref="AJ75:AL75"/>
    <mergeCell ref="B76:B77"/>
    <mergeCell ref="C76:L76"/>
    <mergeCell ref="M76:N77"/>
    <mergeCell ref="AJ76:AL76"/>
    <mergeCell ref="C77:L77"/>
    <mergeCell ref="T77:AG77"/>
    <mergeCell ref="AJ77:AO77"/>
    <mergeCell ref="C72:L72"/>
    <mergeCell ref="AJ72:AL72"/>
    <mergeCell ref="B73:B74"/>
    <mergeCell ref="C73:L73"/>
    <mergeCell ref="M73:N74"/>
    <mergeCell ref="T73:AG73"/>
    <mergeCell ref="AJ73:AL73"/>
    <mergeCell ref="C74:L74"/>
    <mergeCell ref="T74:AG76"/>
    <mergeCell ref="AJ74:AL74"/>
    <mergeCell ref="T94:AG94"/>
    <mergeCell ref="T95:AG95"/>
    <mergeCell ref="T96:AG96"/>
    <mergeCell ref="T97:AG97"/>
    <mergeCell ref="N14:N66"/>
    <mergeCell ref="T87:AG89"/>
    <mergeCell ref="T90:AG90"/>
    <mergeCell ref="T91:AG91"/>
    <mergeCell ref="AJ91:AO91"/>
    <mergeCell ref="AJ92:AO92"/>
    <mergeCell ref="T93:AG93"/>
    <mergeCell ref="T82:AG82"/>
    <mergeCell ref="AJ82:AL82"/>
    <mergeCell ref="T83:AG85"/>
    <mergeCell ref="AJ85:AO85"/>
    <mergeCell ref="T86:AG86"/>
    <mergeCell ref="AJ86:AO86"/>
    <mergeCell ref="T78:AG81"/>
    <mergeCell ref="AJ78:AL78"/>
    <mergeCell ref="A79:R79"/>
    <mergeCell ref="AJ79:AL79"/>
    <mergeCell ref="A80:R80"/>
    <mergeCell ref="AJ80:AL80"/>
    <mergeCell ref="AJ81:AL81"/>
  </mergeCells>
  <pageMargins left="0.12" right="0.12" top="0.32" bottom="0.12" header="0.3" footer="0.3"/>
  <pageSetup paperSize="9" scale="73"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X97"/>
  <sheetViews>
    <sheetView zoomScale="85" zoomScaleNormal="85" workbookViewId="0">
      <selection activeCell="E14" sqref="E14:F14"/>
    </sheetView>
  </sheetViews>
  <sheetFormatPr defaultRowHeight="15"/>
  <cols>
    <col min="1" max="1" width="4.140625" customWidth="1"/>
    <col min="2" max="2" width="33.1406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4" width="3.85546875" customWidth="1"/>
    <col min="35" max="35" width="4" customWidth="1"/>
    <col min="36" max="36" width="9.5703125" customWidth="1"/>
    <col min="37" max="37" width="7.7109375" customWidth="1"/>
    <col min="38" max="38" width="5.5703125" customWidth="1"/>
  </cols>
  <sheetData>
    <row r="2" spans="1:50"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6"/>
      <c r="AQ2" s="6"/>
      <c r="AR2" s="6"/>
      <c r="AS2" s="6"/>
      <c r="AT2" s="6"/>
      <c r="AU2" s="6"/>
      <c r="AV2" s="6"/>
      <c r="AW2" s="6"/>
      <c r="AX2" s="6"/>
    </row>
    <row r="4" spans="1:50">
      <c r="B4" s="5" t="s">
        <v>37</v>
      </c>
      <c r="C4" s="166" t="s">
        <v>38</v>
      </c>
      <c r="D4" s="167"/>
      <c r="E4" s="167"/>
      <c r="F4" s="167"/>
      <c r="G4" s="167"/>
      <c r="H4" s="167"/>
      <c r="I4" s="167"/>
      <c r="J4" s="167"/>
      <c r="K4" s="167"/>
      <c r="L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8"/>
      <c r="AK4" s="170" t="s">
        <v>42</v>
      </c>
      <c r="AL4" s="171"/>
      <c r="AM4" s="166" t="s">
        <v>43</v>
      </c>
      <c r="AN4" s="167"/>
      <c r="AO4" s="168"/>
    </row>
    <row r="5" spans="1:50" ht="9.9499999999999993" customHeight="1">
      <c r="N5" s="5"/>
      <c r="O5" s="5"/>
      <c r="P5" s="5"/>
      <c r="Q5" s="5"/>
      <c r="R5" s="5"/>
      <c r="AI5" s="5"/>
      <c r="AJ5" s="5"/>
      <c r="AK5" s="5"/>
      <c r="AL5" s="5"/>
      <c r="AM5" s="5"/>
      <c r="AN5" s="5"/>
      <c r="AO5" s="5"/>
    </row>
    <row r="6" spans="1:50">
      <c r="B6" s="5" t="s">
        <v>40</v>
      </c>
      <c r="C6" s="166" t="s">
        <v>39</v>
      </c>
      <c r="D6" s="167"/>
      <c r="E6" s="167"/>
      <c r="F6" s="167"/>
      <c r="G6" s="167"/>
      <c r="H6" s="167"/>
      <c r="I6" s="167"/>
      <c r="J6" s="167"/>
      <c r="K6" s="167"/>
      <c r="L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170" t="s">
        <v>44</v>
      </c>
      <c r="AJ6" s="170"/>
      <c r="AK6" s="166" t="s">
        <v>111</v>
      </c>
      <c r="AL6" s="167"/>
      <c r="AM6" s="167"/>
      <c r="AN6" s="167"/>
      <c r="AO6" s="168"/>
    </row>
    <row r="7" spans="1:50" ht="9.9499999999999993" customHeight="1">
      <c r="N7" s="5"/>
      <c r="O7" s="5"/>
      <c r="P7" s="5"/>
      <c r="Q7" s="5"/>
      <c r="R7" s="5"/>
      <c r="AI7" s="5"/>
      <c r="AJ7" s="5"/>
      <c r="AK7" s="5"/>
      <c r="AL7" s="5"/>
      <c r="AM7" s="5"/>
      <c r="AN7" s="5"/>
      <c r="AO7" s="5"/>
    </row>
    <row r="8" spans="1:50">
      <c r="B8" s="5" t="s">
        <v>41</v>
      </c>
      <c r="C8" s="166" t="s">
        <v>110</v>
      </c>
      <c r="D8" s="167"/>
      <c r="E8" s="167"/>
      <c r="F8" s="167"/>
      <c r="G8" s="167"/>
      <c r="H8" s="167"/>
      <c r="I8" s="167"/>
      <c r="J8" s="167"/>
      <c r="K8" s="167"/>
      <c r="L8" s="168"/>
      <c r="M8" s="169" t="s">
        <v>49</v>
      </c>
      <c r="N8" s="170"/>
      <c r="O8" s="170"/>
      <c r="P8" s="170"/>
      <c r="Q8" s="170"/>
      <c r="R8" s="171"/>
      <c r="S8" s="172"/>
      <c r="T8" s="151"/>
      <c r="U8" s="151"/>
      <c r="V8" s="151"/>
      <c r="W8" s="151"/>
      <c r="X8" s="151"/>
      <c r="Y8" s="151"/>
      <c r="Z8" s="151"/>
      <c r="AA8" s="151"/>
      <c r="AB8" s="151"/>
      <c r="AC8" s="151"/>
      <c r="AD8" s="151"/>
      <c r="AE8" s="151"/>
      <c r="AF8" s="151"/>
      <c r="AG8" s="151"/>
      <c r="AH8" s="151"/>
      <c r="AI8" s="173"/>
      <c r="AJ8" s="26"/>
      <c r="AK8" s="166" t="s">
        <v>104</v>
      </c>
      <c r="AL8" s="167"/>
      <c r="AM8" s="167"/>
      <c r="AN8" s="167"/>
      <c r="AO8" s="168"/>
    </row>
    <row r="9" spans="1:50" ht="15.75" thickBot="1"/>
    <row r="10" spans="1:50" ht="13.5" customHeight="1">
      <c r="A10" s="174" t="s">
        <v>0</v>
      </c>
      <c r="B10" s="177" t="s">
        <v>1</v>
      </c>
      <c r="C10" s="179" t="s">
        <v>30</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81" t="s">
        <v>11</v>
      </c>
      <c r="AK10" s="149"/>
      <c r="AL10" s="186" t="s">
        <v>29</v>
      </c>
      <c r="AM10" s="187"/>
      <c r="AN10" s="187"/>
      <c r="AO10" s="188"/>
    </row>
    <row r="11" spans="1:50" ht="25.5" customHeight="1" thickBot="1">
      <c r="A11" s="175"/>
      <c r="B11" s="178"/>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2"/>
      <c r="AK11" s="183"/>
      <c r="AL11" s="158" t="s">
        <v>31</v>
      </c>
      <c r="AM11" s="159"/>
      <c r="AN11" s="159"/>
      <c r="AO11" s="160"/>
    </row>
    <row r="12" spans="1:50" ht="25.5" customHeight="1" thickBot="1">
      <c r="A12" s="175"/>
      <c r="B12" s="161" t="s">
        <v>2</v>
      </c>
      <c r="C12" s="60"/>
      <c r="D12" s="61"/>
      <c r="E12" s="61">
        <v>1</v>
      </c>
      <c r="F12" s="61">
        <v>2</v>
      </c>
      <c r="G12" s="61">
        <v>3</v>
      </c>
      <c r="H12" s="61">
        <v>4</v>
      </c>
      <c r="I12" s="62"/>
      <c r="J12" s="61">
        <v>6</v>
      </c>
      <c r="K12" s="61">
        <v>7</v>
      </c>
      <c r="L12" s="61">
        <v>8</v>
      </c>
      <c r="M12" s="61">
        <v>9</v>
      </c>
      <c r="N12" s="61">
        <v>10</v>
      </c>
      <c r="O12" s="61">
        <v>11</v>
      </c>
      <c r="P12" s="63"/>
      <c r="Q12" s="61">
        <v>13</v>
      </c>
      <c r="R12" s="61">
        <v>14</v>
      </c>
      <c r="S12" s="61">
        <v>15</v>
      </c>
      <c r="T12" s="61">
        <v>16</v>
      </c>
      <c r="U12" s="61">
        <v>17</v>
      </c>
      <c r="V12" s="61">
        <v>18</v>
      </c>
      <c r="W12" s="63"/>
      <c r="X12" s="61">
        <v>20</v>
      </c>
      <c r="Y12" s="61">
        <v>21</v>
      </c>
      <c r="Z12" s="61">
        <v>22</v>
      </c>
      <c r="AA12" s="61">
        <v>23</v>
      </c>
      <c r="AB12" s="61">
        <v>24</v>
      </c>
      <c r="AC12" s="61">
        <v>25</v>
      </c>
      <c r="AD12" s="63"/>
      <c r="AE12" s="61">
        <v>27</v>
      </c>
      <c r="AF12" s="61">
        <v>28</v>
      </c>
      <c r="AG12" s="61">
        <v>29</v>
      </c>
      <c r="AH12" s="64">
        <v>30</v>
      </c>
      <c r="AI12" s="64">
        <v>31</v>
      </c>
      <c r="AJ12" s="184"/>
      <c r="AK12" s="185"/>
      <c r="AL12" s="158" t="s">
        <v>32</v>
      </c>
      <c r="AM12" s="159"/>
      <c r="AN12" s="159"/>
      <c r="AO12" s="160"/>
    </row>
    <row r="13" spans="1:50" ht="27" customHeight="1" thickBot="1">
      <c r="A13" s="176"/>
      <c r="B13" s="162"/>
      <c r="C13" s="65" t="s">
        <v>3</v>
      </c>
      <c r="D13" s="66"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9" t="s">
        <v>6</v>
      </c>
      <c r="AI13" s="69" t="s">
        <v>7</v>
      </c>
      <c r="AJ13" s="72" t="s">
        <v>9</v>
      </c>
      <c r="AK13" s="73" t="s">
        <v>10</v>
      </c>
      <c r="AL13" s="163" t="s">
        <v>33</v>
      </c>
      <c r="AM13" s="164"/>
      <c r="AN13" s="164"/>
      <c r="AO13" s="165"/>
    </row>
    <row r="14" spans="1:50" ht="14.1" customHeight="1">
      <c r="A14" s="49">
        <v>1</v>
      </c>
      <c r="B14" s="51"/>
      <c r="C14" s="85"/>
      <c r="D14" s="85"/>
      <c r="E14" s="85" t="s">
        <v>107</v>
      </c>
      <c r="F14" s="85" t="s">
        <v>86</v>
      </c>
      <c r="G14" s="43"/>
      <c r="H14" s="43"/>
      <c r="I14" s="22"/>
      <c r="J14" s="43"/>
      <c r="K14" s="43"/>
      <c r="L14" s="43"/>
      <c r="M14" s="43"/>
      <c r="N14" s="43"/>
      <c r="O14" s="43"/>
      <c r="P14" s="22"/>
      <c r="Q14" s="43"/>
      <c r="R14" s="43"/>
      <c r="S14" s="43"/>
      <c r="T14" s="43"/>
      <c r="U14" s="43"/>
      <c r="V14" s="43"/>
      <c r="W14" s="22"/>
      <c r="X14" s="43"/>
      <c r="Y14" s="43"/>
      <c r="Z14" s="43"/>
      <c r="AA14" s="43"/>
      <c r="AB14" s="43"/>
      <c r="AC14" s="43"/>
      <c r="AD14" s="22"/>
      <c r="AE14" s="43"/>
      <c r="AF14" s="43"/>
      <c r="AG14" s="43"/>
      <c r="AH14" s="43"/>
      <c r="AI14" s="43"/>
      <c r="AJ14" s="46">
        <f>COUNTIF(E14:AH14,"X")</f>
        <v>1</v>
      </c>
      <c r="AK14" s="46">
        <f>COUNTIF(E14:AH14,"T")</f>
        <v>1</v>
      </c>
      <c r="AL14" s="153"/>
      <c r="AM14" s="154"/>
      <c r="AN14" s="154"/>
      <c r="AO14" s="155"/>
    </row>
    <row r="15" spans="1:50"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43"/>
      <c r="AF15" s="43"/>
      <c r="AG15" s="43"/>
      <c r="AH15" s="43"/>
      <c r="AI15" s="43"/>
      <c r="AJ15" s="46">
        <f t="shared" ref="AJ15:AJ27" si="0">COUNTIF(E15:AH15,"X")</f>
        <v>0</v>
      </c>
      <c r="AK15" s="46">
        <f t="shared" ref="AK15:AK27" si="1">COUNTIF(E15:AH15,"T")</f>
        <v>0</v>
      </c>
      <c r="AL15" s="150"/>
      <c r="AM15" s="151"/>
      <c r="AN15" s="151"/>
      <c r="AO15" s="152"/>
    </row>
    <row r="16" spans="1:50"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43"/>
      <c r="AF16" s="43"/>
      <c r="AG16" s="43"/>
      <c r="AH16" s="43"/>
      <c r="AI16" s="43"/>
      <c r="AJ16" s="46">
        <f t="shared" si="0"/>
        <v>0</v>
      </c>
      <c r="AK16" s="46">
        <f t="shared" si="1"/>
        <v>0</v>
      </c>
      <c r="AL16" s="150"/>
      <c r="AM16" s="151"/>
      <c r="AN16" s="151"/>
      <c r="AO16" s="152"/>
    </row>
    <row r="17" spans="1:41"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43"/>
      <c r="AF17" s="43"/>
      <c r="AG17" s="43"/>
      <c r="AH17" s="43"/>
      <c r="AI17" s="43"/>
      <c r="AJ17" s="46">
        <f t="shared" si="0"/>
        <v>0</v>
      </c>
      <c r="AK17" s="46">
        <f t="shared" si="1"/>
        <v>0</v>
      </c>
      <c r="AL17" s="150"/>
      <c r="AM17" s="151"/>
      <c r="AN17" s="151"/>
      <c r="AO17" s="152"/>
    </row>
    <row r="18" spans="1:41"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43"/>
      <c r="AF18" s="43"/>
      <c r="AG18" s="43"/>
      <c r="AH18" s="43"/>
      <c r="AI18" s="43"/>
      <c r="AJ18" s="46">
        <f t="shared" si="0"/>
        <v>0</v>
      </c>
      <c r="AK18" s="46">
        <f t="shared" si="1"/>
        <v>0</v>
      </c>
      <c r="AL18" s="150"/>
      <c r="AM18" s="151"/>
      <c r="AN18" s="151"/>
      <c r="AO18" s="152"/>
    </row>
    <row r="19" spans="1:41"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43"/>
      <c r="AF19" s="43"/>
      <c r="AG19" s="43"/>
      <c r="AH19" s="43"/>
      <c r="AI19" s="43"/>
      <c r="AJ19" s="46">
        <f t="shared" si="0"/>
        <v>0</v>
      </c>
      <c r="AK19" s="46">
        <f t="shared" si="1"/>
        <v>0</v>
      </c>
      <c r="AL19" s="150"/>
      <c r="AM19" s="151"/>
      <c r="AN19" s="151"/>
      <c r="AO19" s="152"/>
    </row>
    <row r="20" spans="1:41"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43"/>
      <c r="AF20" s="43"/>
      <c r="AG20" s="43"/>
      <c r="AH20" s="43"/>
      <c r="AI20" s="43"/>
      <c r="AJ20" s="46">
        <f t="shared" si="0"/>
        <v>0</v>
      </c>
      <c r="AK20" s="46">
        <f t="shared" si="1"/>
        <v>0</v>
      </c>
      <c r="AL20" s="150"/>
      <c r="AM20" s="151"/>
      <c r="AN20" s="151"/>
      <c r="AO20" s="152"/>
    </row>
    <row r="21" spans="1:41"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43"/>
      <c r="AF21" s="43"/>
      <c r="AG21" s="43"/>
      <c r="AH21" s="43"/>
      <c r="AI21" s="43"/>
      <c r="AJ21" s="46">
        <f t="shared" si="0"/>
        <v>0</v>
      </c>
      <c r="AK21" s="46">
        <f t="shared" si="1"/>
        <v>0</v>
      </c>
      <c r="AL21" s="150"/>
      <c r="AM21" s="151"/>
      <c r="AN21" s="151"/>
      <c r="AO21" s="152"/>
    </row>
    <row r="22" spans="1:41" ht="14.1" customHeight="1">
      <c r="A22" s="42">
        <v>9</v>
      </c>
      <c r="B22" s="52"/>
      <c r="C22" s="28"/>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43"/>
      <c r="AF22" s="43"/>
      <c r="AG22" s="43"/>
      <c r="AH22" s="43"/>
      <c r="AI22" s="43"/>
      <c r="AJ22" s="46">
        <f t="shared" si="0"/>
        <v>0</v>
      </c>
      <c r="AK22" s="46">
        <f t="shared" si="1"/>
        <v>0</v>
      </c>
      <c r="AL22" s="150"/>
      <c r="AM22" s="151"/>
      <c r="AN22" s="151"/>
      <c r="AO22" s="152"/>
    </row>
    <row r="23" spans="1:41" ht="14.1" customHeight="1">
      <c r="A23" s="42">
        <v>10</v>
      </c>
      <c r="B23" s="53"/>
      <c r="C23" s="28"/>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43"/>
      <c r="AF23" s="43"/>
      <c r="AG23" s="43"/>
      <c r="AH23" s="43"/>
      <c r="AI23" s="43"/>
      <c r="AJ23" s="46">
        <f t="shared" si="0"/>
        <v>0</v>
      </c>
      <c r="AK23" s="46">
        <f t="shared" si="1"/>
        <v>0</v>
      </c>
      <c r="AL23" s="150"/>
      <c r="AM23" s="151"/>
      <c r="AN23" s="151"/>
      <c r="AO23" s="152"/>
    </row>
    <row r="24" spans="1:41" ht="14.1" customHeight="1">
      <c r="A24" s="42">
        <v>11</v>
      </c>
      <c r="B24" s="53"/>
      <c r="C24" s="28"/>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43"/>
      <c r="AF24" s="43"/>
      <c r="AG24" s="43"/>
      <c r="AH24" s="43"/>
      <c r="AI24" s="43"/>
      <c r="AJ24" s="46">
        <f t="shared" si="0"/>
        <v>0</v>
      </c>
      <c r="AK24" s="46">
        <f t="shared" si="1"/>
        <v>0</v>
      </c>
      <c r="AL24" s="150"/>
      <c r="AM24" s="151"/>
      <c r="AN24" s="151"/>
      <c r="AO24" s="152"/>
    </row>
    <row r="25" spans="1:41" ht="14.1" customHeight="1">
      <c r="A25" s="42">
        <v>12</v>
      </c>
      <c r="B25" s="52"/>
      <c r="C25" s="28"/>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43"/>
      <c r="AF25" s="43"/>
      <c r="AG25" s="43"/>
      <c r="AH25" s="43"/>
      <c r="AI25" s="43"/>
      <c r="AJ25" s="46">
        <f t="shared" si="0"/>
        <v>0</v>
      </c>
      <c r="AK25" s="46">
        <f t="shared" si="1"/>
        <v>0</v>
      </c>
      <c r="AL25" s="150"/>
      <c r="AM25" s="151"/>
      <c r="AN25" s="151"/>
      <c r="AO25" s="152"/>
    </row>
    <row r="26" spans="1:41" ht="14.1" customHeight="1">
      <c r="A26" s="42">
        <v>13</v>
      </c>
      <c r="B26" s="54"/>
      <c r="C26" s="28"/>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43"/>
      <c r="AF26" s="43"/>
      <c r="AG26" s="43"/>
      <c r="AH26" s="43"/>
      <c r="AI26" s="43"/>
      <c r="AJ26" s="46">
        <f t="shared" si="0"/>
        <v>0</v>
      </c>
      <c r="AK26" s="46">
        <f t="shared" si="1"/>
        <v>0</v>
      </c>
      <c r="AL26" s="39"/>
      <c r="AM26" s="40"/>
      <c r="AN26" s="40"/>
      <c r="AO26" s="41"/>
    </row>
    <row r="27" spans="1:41" ht="14.1" customHeight="1" thickBot="1">
      <c r="A27" s="50">
        <v>14</v>
      </c>
      <c r="B27" s="55"/>
      <c r="C27" s="28"/>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43"/>
      <c r="AF27" s="43"/>
      <c r="AG27" s="43"/>
      <c r="AH27" s="43"/>
      <c r="AI27" s="43"/>
      <c r="AJ27" s="46">
        <f t="shared" si="0"/>
        <v>0</v>
      </c>
      <c r="AK27" s="46">
        <f t="shared" si="1"/>
        <v>0</v>
      </c>
      <c r="AL27" s="150"/>
      <c r="AM27" s="151"/>
      <c r="AN27" s="151"/>
      <c r="AO27" s="152"/>
    </row>
    <row r="28" spans="1:41" ht="15.75" thickBot="1">
      <c r="A28" s="156" t="s">
        <v>34</v>
      </c>
      <c r="B28" s="157"/>
      <c r="C28" s="48"/>
      <c r="D28" s="48"/>
      <c r="E28" s="48">
        <f t="shared" ref="E28:H28" si="2">ROWS(E14:E27) - COUNTIF(E14:E27,"X")</f>
        <v>13</v>
      </c>
      <c r="F28" s="48">
        <f t="shared" si="2"/>
        <v>14</v>
      </c>
      <c r="G28" s="48">
        <f t="shared" si="2"/>
        <v>14</v>
      </c>
      <c r="H28" s="48">
        <f t="shared" si="2"/>
        <v>14</v>
      </c>
      <c r="I28" s="45"/>
      <c r="J28" s="48">
        <f t="shared" ref="J28:O28" si="3">ROWS(J14:J27) - COUNTIF(J14:J27,"X")</f>
        <v>14</v>
      </c>
      <c r="K28" s="48">
        <f t="shared" si="3"/>
        <v>14</v>
      </c>
      <c r="L28" s="48">
        <f t="shared" si="3"/>
        <v>14</v>
      </c>
      <c r="M28" s="48">
        <f t="shared" si="3"/>
        <v>14</v>
      </c>
      <c r="N28" s="48">
        <f t="shared" ref="N28" si="4">ROWS(N14:N27) - COUNTIF(N14:N27,"X")</f>
        <v>14</v>
      </c>
      <c r="O28" s="48">
        <f t="shared" si="3"/>
        <v>14</v>
      </c>
      <c r="P28" s="45"/>
      <c r="Q28" s="48">
        <f t="shared" ref="Q28:V28" si="5">ROWS(Q14:Q27) - COUNTIF(Q14:Q27,"X")</f>
        <v>14</v>
      </c>
      <c r="R28" s="48">
        <f t="shared" si="5"/>
        <v>14</v>
      </c>
      <c r="S28" s="48">
        <f t="shared" si="5"/>
        <v>14</v>
      </c>
      <c r="T28" s="48">
        <f t="shared" si="5"/>
        <v>14</v>
      </c>
      <c r="U28" s="48">
        <f t="shared" si="5"/>
        <v>14</v>
      </c>
      <c r="V28" s="48">
        <f t="shared" si="5"/>
        <v>14</v>
      </c>
      <c r="W28" s="45"/>
      <c r="X28" s="48">
        <f t="shared" ref="X28:AC28" si="6">ROWS(X14:X27) - COUNTIF(X14:X27,"X")</f>
        <v>14</v>
      </c>
      <c r="Y28" s="48">
        <f t="shared" si="6"/>
        <v>14</v>
      </c>
      <c r="Z28" s="48">
        <f t="shared" si="6"/>
        <v>14</v>
      </c>
      <c r="AA28" s="48">
        <f t="shared" si="6"/>
        <v>14</v>
      </c>
      <c r="AB28" s="48">
        <f t="shared" si="6"/>
        <v>14</v>
      </c>
      <c r="AC28" s="48">
        <f t="shared" si="6"/>
        <v>14</v>
      </c>
      <c r="AD28" s="45"/>
      <c r="AE28" s="48">
        <f t="shared" ref="AE28:AI28" si="7">ROWS(AE14:AE27) - COUNTIF(AE14:AE27,"X")</f>
        <v>14</v>
      </c>
      <c r="AF28" s="48">
        <f t="shared" si="7"/>
        <v>14</v>
      </c>
      <c r="AG28" s="48">
        <f t="shared" si="7"/>
        <v>14</v>
      </c>
      <c r="AH28" s="48">
        <f t="shared" si="7"/>
        <v>14</v>
      </c>
      <c r="AI28" s="48">
        <f t="shared" si="7"/>
        <v>14</v>
      </c>
      <c r="AJ28" s="47">
        <f>SUM(AJ14:AJ27)</f>
        <v>1</v>
      </c>
      <c r="AK28" s="47">
        <f>SUM(AK14:AK27)</f>
        <v>1</v>
      </c>
      <c r="AL28" s="141">
        <f>SUM(E28:AI28)</f>
        <v>377</v>
      </c>
      <c r="AM28" s="141"/>
      <c r="AN28" s="141"/>
      <c r="AO28" s="142"/>
    </row>
    <row r="29" spans="1:41" ht="14.1" customHeight="1">
      <c r="A29" s="49">
        <v>1</v>
      </c>
      <c r="B29" s="51"/>
      <c r="C29" s="27"/>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43"/>
      <c r="AF29" s="43"/>
      <c r="AG29" s="43"/>
      <c r="AH29" s="43"/>
      <c r="AI29" s="43"/>
      <c r="AJ29" s="46">
        <f>COUNTIF(E29:AH29,"X")</f>
        <v>0</v>
      </c>
      <c r="AK29" s="46">
        <f>COUNTIF(E29:AH29,"T")</f>
        <v>0</v>
      </c>
      <c r="AL29" s="153"/>
      <c r="AM29" s="154"/>
      <c r="AN29" s="154"/>
      <c r="AO29" s="155"/>
    </row>
    <row r="30" spans="1:41" ht="14.1" customHeight="1">
      <c r="A30" s="42">
        <v>2</v>
      </c>
      <c r="B30" s="52"/>
      <c r="C30" s="28"/>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43"/>
      <c r="AF30" s="43"/>
      <c r="AG30" s="43"/>
      <c r="AH30" s="43"/>
      <c r="AI30" s="43"/>
      <c r="AJ30" s="46">
        <f t="shared" ref="AJ30:AJ64" si="8">COUNTIF(E30:AH30,"X")</f>
        <v>0</v>
      </c>
      <c r="AK30" s="46">
        <f t="shared" ref="AK30:AK64" si="9">COUNTIF(E30:AH30,"T")</f>
        <v>0</v>
      </c>
      <c r="AL30" s="150"/>
      <c r="AM30" s="151"/>
      <c r="AN30" s="151"/>
      <c r="AO30" s="152"/>
    </row>
    <row r="31" spans="1:41" ht="14.1" customHeight="1">
      <c r="A31" s="42">
        <v>3</v>
      </c>
      <c r="B31" s="52"/>
      <c r="C31" s="28"/>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43"/>
      <c r="AF31" s="43"/>
      <c r="AG31" s="43"/>
      <c r="AH31" s="43"/>
      <c r="AI31" s="43"/>
      <c r="AJ31" s="46">
        <f t="shared" si="8"/>
        <v>0</v>
      </c>
      <c r="AK31" s="46">
        <f t="shared" si="9"/>
        <v>0</v>
      </c>
      <c r="AL31" s="150"/>
      <c r="AM31" s="151"/>
      <c r="AN31" s="151"/>
      <c r="AO31" s="152"/>
    </row>
    <row r="32" spans="1:41" ht="14.1" customHeight="1">
      <c r="A32" s="42">
        <v>4</v>
      </c>
      <c r="B32" s="52"/>
      <c r="C32" s="28"/>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43"/>
      <c r="AF32" s="43"/>
      <c r="AG32" s="43"/>
      <c r="AH32" s="43"/>
      <c r="AI32" s="43"/>
      <c r="AJ32" s="46">
        <f t="shared" si="8"/>
        <v>0</v>
      </c>
      <c r="AK32" s="46">
        <f t="shared" si="9"/>
        <v>0</v>
      </c>
      <c r="AL32" s="150"/>
      <c r="AM32" s="151"/>
      <c r="AN32" s="151"/>
      <c r="AO32" s="152"/>
    </row>
    <row r="33" spans="1:41" ht="14.1" customHeight="1">
      <c r="A33" s="42">
        <v>5</v>
      </c>
      <c r="B33" s="52"/>
      <c r="C33" s="28"/>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43"/>
      <c r="AF33" s="43"/>
      <c r="AG33" s="43"/>
      <c r="AH33" s="43"/>
      <c r="AI33" s="43"/>
      <c r="AJ33" s="46">
        <f t="shared" si="8"/>
        <v>0</v>
      </c>
      <c r="AK33" s="46">
        <f t="shared" si="9"/>
        <v>0</v>
      </c>
      <c r="AL33" s="150"/>
      <c r="AM33" s="151"/>
      <c r="AN33" s="151"/>
      <c r="AO33" s="152"/>
    </row>
    <row r="34" spans="1:41" ht="14.1" customHeight="1">
      <c r="A34" s="42">
        <v>6</v>
      </c>
      <c r="B34" s="52"/>
      <c r="C34" s="28"/>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43"/>
      <c r="AF34" s="43"/>
      <c r="AG34" s="43"/>
      <c r="AH34" s="43"/>
      <c r="AI34" s="43"/>
      <c r="AJ34" s="46">
        <f t="shared" si="8"/>
        <v>0</v>
      </c>
      <c r="AK34" s="46">
        <f t="shared" si="9"/>
        <v>0</v>
      </c>
      <c r="AL34" s="150"/>
      <c r="AM34" s="151"/>
      <c r="AN34" s="151"/>
      <c r="AO34" s="152"/>
    </row>
    <row r="35" spans="1:41" ht="14.1" customHeight="1">
      <c r="A35" s="42">
        <v>7</v>
      </c>
      <c r="B35" s="52"/>
      <c r="C35" s="28"/>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43"/>
      <c r="AF35" s="43"/>
      <c r="AG35" s="43"/>
      <c r="AH35" s="43"/>
      <c r="AI35" s="43"/>
      <c r="AJ35" s="46">
        <f t="shared" si="8"/>
        <v>0</v>
      </c>
      <c r="AK35" s="46">
        <f t="shared" si="9"/>
        <v>0</v>
      </c>
      <c r="AL35" s="150"/>
      <c r="AM35" s="151"/>
      <c r="AN35" s="151"/>
      <c r="AO35" s="152"/>
    </row>
    <row r="36" spans="1:41" ht="14.1" customHeight="1">
      <c r="A36" s="42">
        <v>8</v>
      </c>
      <c r="B36" s="52"/>
      <c r="C36" s="28"/>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43"/>
      <c r="AF36" s="43"/>
      <c r="AG36" s="43"/>
      <c r="AH36" s="43"/>
      <c r="AI36" s="43"/>
      <c r="AJ36" s="46">
        <f t="shared" si="8"/>
        <v>0</v>
      </c>
      <c r="AK36" s="46">
        <f t="shared" si="9"/>
        <v>0</v>
      </c>
      <c r="AL36" s="150"/>
      <c r="AM36" s="151"/>
      <c r="AN36" s="151"/>
      <c r="AO36" s="152"/>
    </row>
    <row r="37" spans="1:41" ht="14.1" customHeight="1">
      <c r="A37" s="42">
        <v>9</v>
      </c>
      <c r="B37" s="52"/>
      <c r="C37" s="28"/>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43"/>
      <c r="AF37" s="43"/>
      <c r="AG37" s="43"/>
      <c r="AH37" s="43"/>
      <c r="AI37" s="43"/>
      <c r="AJ37" s="46">
        <f t="shared" si="8"/>
        <v>0</v>
      </c>
      <c r="AK37" s="46">
        <f t="shared" si="9"/>
        <v>0</v>
      </c>
      <c r="AL37" s="150"/>
      <c r="AM37" s="151"/>
      <c r="AN37" s="151"/>
      <c r="AO37" s="152"/>
    </row>
    <row r="38" spans="1:41" ht="14.1" customHeight="1">
      <c r="A38" s="42">
        <v>10</v>
      </c>
      <c r="B38" s="52"/>
      <c r="C38" s="28"/>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43"/>
      <c r="AF38" s="43"/>
      <c r="AG38" s="43"/>
      <c r="AH38" s="43"/>
      <c r="AI38" s="43"/>
      <c r="AJ38" s="46">
        <f t="shared" si="8"/>
        <v>0</v>
      </c>
      <c r="AK38" s="46">
        <f t="shared" si="9"/>
        <v>0</v>
      </c>
      <c r="AL38" s="150"/>
      <c r="AM38" s="151"/>
      <c r="AN38" s="151"/>
      <c r="AO38" s="152"/>
    </row>
    <row r="39" spans="1:41" ht="14.1" customHeight="1">
      <c r="A39" s="42">
        <v>11</v>
      </c>
      <c r="B39" s="52"/>
      <c r="C39" s="28"/>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43"/>
      <c r="AF39" s="43"/>
      <c r="AG39" s="43"/>
      <c r="AH39" s="43"/>
      <c r="AI39" s="43"/>
      <c r="AJ39" s="46">
        <f t="shared" si="8"/>
        <v>0</v>
      </c>
      <c r="AK39" s="46">
        <f t="shared" si="9"/>
        <v>0</v>
      </c>
      <c r="AL39" s="150"/>
      <c r="AM39" s="151"/>
      <c r="AN39" s="151"/>
      <c r="AO39" s="152"/>
    </row>
    <row r="40" spans="1:41" ht="14.1" customHeight="1">
      <c r="A40" s="42">
        <v>12</v>
      </c>
      <c r="B40" s="52"/>
      <c r="C40" s="28"/>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43"/>
      <c r="AF40" s="43"/>
      <c r="AG40" s="43"/>
      <c r="AH40" s="43"/>
      <c r="AI40" s="43"/>
      <c r="AJ40" s="46">
        <f t="shared" si="8"/>
        <v>0</v>
      </c>
      <c r="AK40" s="46">
        <f t="shared" si="9"/>
        <v>0</v>
      </c>
      <c r="AL40" s="150"/>
      <c r="AM40" s="151"/>
      <c r="AN40" s="151"/>
      <c r="AO40" s="152"/>
    </row>
    <row r="41" spans="1:41" ht="14.1" customHeight="1">
      <c r="A41" s="42">
        <v>13</v>
      </c>
      <c r="B41" s="52"/>
      <c r="C41" s="28"/>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43"/>
      <c r="AF41" s="43"/>
      <c r="AG41" s="43"/>
      <c r="AH41" s="43"/>
      <c r="AI41" s="43"/>
      <c r="AJ41" s="46">
        <f t="shared" si="8"/>
        <v>0</v>
      </c>
      <c r="AK41" s="46">
        <f t="shared" si="9"/>
        <v>0</v>
      </c>
      <c r="AL41" s="150"/>
      <c r="AM41" s="151"/>
      <c r="AN41" s="151"/>
      <c r="AO41" s="152"/>
    </row>
    <row r="42" spans="1:41" ht="14.1" customHeight="1">
      <c r="A42" s="42">
        <v>14</v>
      </c>
      <c r="B42" s="52"/>
      <c r="C42" s="28"/>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43"/>
      <c r="AF42" s="43"/>
      <c r="AG42" s="43"/>
      <c r="AH42" s="43"/>
      <c r="AI42" s="43"/>
      <c r="AJ42" s="46">
        <f t="shared" si="8"/>
        <v>0</v>
      </c>
      <c r="AK42" s="46">
        <f t="shared" si="9"/>
        <v>0</v>
      </c>
      <c r="AL42" s="150"/>
      <c r="AM42" s="151"/>
      <c r="AN42" s="151"/>
      <c r="AO42" s="152"/>
    </row>
    <row r="43" spans="1:41" ht="14.1" customHeight="1">
      <c r="A43" s="42">
        <v>15</v>
      </c>
      <c r="B43" s="52"/>
      <c r="C43" s="28"/>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43"/>
      <c r="AF43" s="43"/>
      <c r="AG43" s="43"/>
      <c r="AH43" s="43"/>
      <c r="AI43" s="43"/>
      <c r="AJ43" s="46">
        <f t="shared" si="8"/>
        <v>0</v>
      </c>
      <c r="AK43" s="46">
        <f t="shared" si="9"/>
        <v>0</v>
      </c>
      <c r="AL43" s="150"/>
      <c r="AM43" s="151"/>
      <c r="AN43" s="151"/>
      <c r="AO43" s="152"/>
    </row>
    <row r="44" spans="1:41" ht="14.1" customHeight="1">
      <c r="A44" s="42">
        <v>16</v>
      </c>
      <c r="B44" s="52"/>
      <c r="C44" s="28"/>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43"/>
      <c r="AF44" s="43"/>
      <c r="AG44" s="43"/>
      <c r="AH44" s="43"/>
      <c r="AI44" s="43"/>
      <c r="AJ44" s="46">
        <f t="shared" si="8"/>
        <v>0</v>
      </c>
      <c r="AK44" s="46">
        <f t="shared" si="9"/>
        <v>0</v>
      </c>
      <c r="AL44" s="150"/>
      <c r="AM44" s="151"/>
      <c r="AN44" s="151"/>
      <c r="AO44" s="152"/>
    </row>
    <row r="45" spans="1:41" ht="14.1" customHeight="1">
      <c r="A45" s="42">
        <v>17</v>
      </c>
      <c r="B45" s="52"/>
      <c r="C45" s="28"/>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43"/>
      <c r="AF45" s="43"/>
      <c r="AG45" s="43"/>
      <c r="AH45" s="43"/>
      <c r="AI45" s="43"/>
      <c r="AJ45" s="46">
        <f t="shared" si="8"/>
        <v>0</v>
      </c>
      <c r="AK45" s="46">
        <f t="shared" si="9"/>
        <v>0</v>
      </c>
      <c r="AL45" s="150"/>
      <c r="AM45" s="151"/>
      <c r="AN45" s="151"/>
      <c r="AO45" s="152"/>
    </row>
    <row r="46" spans="1:41" ht="14.1" customHeight="1">
      <c r="A46" s="42">
        <v>18</v>
      </c>
      <c r="B46" s="52"/>
      <c r="C46" s="28"/>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43"/>
      <c r="AF46" s="43"/>
      <c r="AG46" s="43"/>
      <c r="AH46" s="43"/>
      <c r="AI46" s="43"/>
      <c r="AJ46" s="46">
        <f t="shared" si="8"/>
        <v>0</v>
      </c>
      <c r="AK46" s="46">
        <f t="shared" si="9"/>
        <v>0</v>
      </c>
      <c r="AL46" s="150"/>
      <c r="AM46" s="151"/>
      <c r="AN46" s="151"/>
      <c r="AO46" s="152"/>
    </row>
    <row r="47" spans="1:41" ht="14.1" customHeight="1">
      <c r="A47" s="42">
        <v>19</v>
      </c>
      <c r="B47" s="56"/>
      <c r="C47" s="28"/>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43"/>
      <c r="AF47" s="43"/>
      <c r="AG47" s="43"/>
      <c r="AH47" s="43"/>
      <c r="AI47" s="43"/>
      <c r="AJ47" s="46">
        <f t="shared" si="8"/>
        <v>0</v>
      </c>
      <c r="AK47" s="46">
        <f t="shared" si="9"/>
        <v>0</v>
      </c>
      <c r="AL47" s="150"/>
      <c r="AM47" s="151"/>
      <c r="AN47" s="151"/>
      <c r="AO47" s="152"/>
    </row>
    <row r="48" spans="1:41" ht="14.1" customHeight="1">
      <c r="A48" s="42">
        <v>20</v>
      </c>
      <c r="B48" s="52"/>
      <c r="C48" s="28"/>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43"/>
      <c r="AF48" s="43"/>
      <c r="AG48" s="43"/>
      <c r="AH48" s="43"/>
      <c r="AI48" s="43"/>
      <c r="AJ48" s="46">
        <f t="shared" si="8"/>
        <v>0</v>
      </c>
      <c r="AK48" s="46">
        <f t="shared" si="9"/>
        <v>0</v>
      </c>
      <c r="AL48" s="150"/>
      <c r="AM48" s="151"/>
      <c r="AN48" s="151"/>
      <c r="AO48" s="152"/>
    </row>
    <row r="49" spans="1:41" ht="14.1" customHeight="1">
      <c r="A49" s="42">
        <v>21</v>
      </c>
      <c r="B49" s="52"/>
      <c r="C49" s="28"/>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43"/>
      <c r="AF49" s="43"/>
      <c r="AG49" s="43"/>
      <c r="AH49" s="43"/>
      <c r="AI49" s="43"/>
      <c r="AJ49" s="46">
        <f t="shared" si="8"/>
        <v>0</v>
      </c>
      <c r="AK49" s="46">
        <f t="shared" si="9"/>
        <v>0</v>
      </c>
      <c r="AL49" s="150"/>
      <c r="AM49" s="151"/>
      <c r="AN49" s="151"/>
      <c r="AO49" s="152"/>
    </row>
    <row r="50" spans="1:41" ht="14.1" customHeight="1">
      <c r="A50" s="42">
        <v>22</v>
      </c>
      <c r="B50" s="52"/>
      <c r="C50" s="28"/>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43"/>
      <c r="AF50" s="43"/>
      <c r="AG50" s="43"/>
      <c r="AH50" s="43"/>
      <c r="AI50" s="43"/>
      <c r="AJ50" s="46">
        <f t="shared" si="8"/>
        <v>0</v>
      </c>
      <c r="AK50" s="46">
        <f t="shared" si="9"/>
        <v>0</v>
      </c>
      <c r="AL50" s="39"/>
      <c r="AM50" s="40"/>
      <c r="AN50" s="40"/>
      <c r="AO50" s="41"/>
    </row>
    <row r="51" spans="1:41" ht="14.1" customHeight="1">
      <c r="A51" s="42">
        <v>23</v>
      </c>
      <c r="B51" s="52"/>
      <c r="C51" s="28"/>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43"/>
      <c r="AF51" s="43"/>
      <c r="AG51" s="43"/>
      <c r="AH51" s="43"/>
      <c r="AI51" s="43"/>
      <c r="AJ51" s="46">
        <f t="shared" si="8"/>
        <v>0</v>
      </c>
      <c r="AK51" s="46">
        <f t="shared" si="9"/>
        <v>0</v>
      </c>
      <c r="AL51" s="39"/>
      <c r="AM51" s="40"/>
      <c r="AN51" s="40"/>
      <c r="AO51" s="41"/>
    </row>
    <row r="52" spans="1:41" ht="14.1" customHeight="1">
      <c r="A52" s="42">
        <v>24</v>
      </c>
      <c r="B52" s="52"/>
      <c r="C52" s="28"/>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43"/>
      <c r="AF52" s="43"/>
      <c r="AG52" s="43"/>
      <c r="AH52" s="43"/>
      <c r="AI52" s="43"/>
      <c r="AJ52" s="46">
        <f t="shared" si="8"/>
        <v>0</v>
      </c>
      <c r="AK52" s="46">
        <f t="shared" si="9"/>
        <v>0</v>
      </c>
      <c r="AL52" s="39"/>
      <c r="AM52" s="40"/>
      <c r="AN52" s="40"/>
      <c r="AO52" s="41"/>
    </row>
    <row r="53" spans="1:41" ht="14.1" customHeight="1">
      <c r="A53" s="42">
        <v>25</v>
      </c>
      <c r="B53" s="52"/>
      <c r="C53" s="28"/>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43"/>
      <c r="AF53" s="43"/>
      <c r="AG53" s="43"/>
      <c r="AH53" s="43"/>
      <c r="AI53" s="43"/>
      <c r="AJ53" s="46">
        <f t="shared" si="8"/>
        <v>0</v>
      </c>
      <c r="AK53" s="46">
        <f t="shared" si="9"/>
        <v>0</v>
      </c>
      <c r="AL53" s="39"/>
      <c r="AM53" s="40"/>
      <c r="AN53" s="40"/>
      <c r="AO53" s="41"/>
    </row>
    <row r="54" spans="1:41" ht="14.1" customHeight="1">
      <c r="A54" s="42">
        <v>26</v>
      </c>
      <c r="B54" s="52"/>
      <c r="C54" s="28"/>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43"/>
      <c r="AF54" s="43"/>
      <c r="AG54" s="43"/>
      <c r="AH54" s="43"/>
      <c r="AI54" s="43"/>
      <c r="AJ54" s="46">
        <f t="shared" si="8"/>
        <v>0</v>
      </c>
      <c r="AK54" s="46">
        <f t="shared" si="9"/>
        <v>0</v>
      </c>
      <c r="AL54" s="39"/>
      <c r="AM54" s="40"/>
      <c r="AN54" s="40"/>
      <c r="AO54" s="41"/>
    </row>
    <row r="55" spans="1:41" ht="14.1" customHeight="1">
      <c r="A55" s="42">
        <v>27</v>
      </c>
      <c r="B55" s="52"/>
      <c r="C55" s="28"/>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43"/>
      <c r="AF55" s="43"/>
      <c r="AG55" s="43"/>
      <c r="AH55" s="43"/>
      <c r="AI55" s="43"/>
      <c r="AJ55" s="46">
        <f t="shared" si="8"/>
        <v>0</v>
      </c>
      <c r="AK55" s="46">
        <f t="shared" si="9"/>
        <v>0</v>
      </c>
      <c r="AL55" s="39"/>
      <c r="AM55" s="40"/>
      <c r="AN55" s="40"/>
      <c r="AO55" s="41"/>
    </row>
    <row r="56" spans="1:41" ht="14.1" customHeight="1">
      <c r="A56" s="42">
        <v>28</v>
      </c>
      <c r="B56" s="52"/>
      <c r="C56" s="28"/>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43"/>
      <c r="AF56" s="43"/>
      <c r="AG56" s="43"/>
      <c r="AH56" s="43"/>
      <c r="AI56" s="43"/>
      <c r="AJ56" s="46">
        <f t="shared" si="8"/>
        <v>0</v>
      </c>
      <c r="AK56" s="46">
        <f t="shared" si="9"/>
        <v>0</v>
      </c>
      <c r="AL56" s="39"/>
      <c r="AM56" s="40"/>
      <c r="AN56" s="40"/>
      <c r="AO56" s="41"/>
    </row>
    <row r="57" spans="1:41" ht="14.1" customHeight="1">
      <c r="A57" s="42">
        <v>29</v>
      </c>
      <c r="B57" s="52"/>
      <c r="C57" s="28"/>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43"/>
      <c r="AF57" s="43"/>
      <c r="AG57" s="43"/>
      <c r="AH57" s="43"/>
      <c r="AI57" s="43"/>
      <c r="AJ57" s="46">
        <f t="shared" si="8"/>
        <v>0</v>
      </c>
      <c r="AK57" s="46">
        <f t="shared" si="9"/>
        <v>0</v>
      </c>
      <c r="AL57" s="39"/>
      <c r="AM57" s="40"/>
      <c r="AN57" s="40"/>
      <c r="AO57" s="41"/>
    </row>
    <row r="58" spans="1:41" ht="14.1" customHeight="1">
      <c r="A58" s="42">
        <v>30</v>
      </c>
      <c r="B58" s="52"/>
      <c r="C58" s="28"/>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43"/>
      <c r="AF58" s="43"/>
      <c r="AG58" s="43"/>
      <c r="AH58" s="43"/>
      <c r="AI58" s="43"/>
      <c r="AJ58" s="46">
        <f t="shared" si="8"/>
        <v>0</v>
      </c>
      <c r="AK58" s="46">
        <f t="shared" si="9"/>
        <v>0</v>
      </c>
      <c r="AL58" s="39"/>
      <c r="AM58" s="40"/>
      <c r="AN58" s="40"/>
      <c r="AO58" s="41"/>
    </row>
    <row r="59" spans="1:41" ht="14.1" customHeight="1">
      <c r="A59" s="42">
        <v>31</v>
      </c>
      <c r="B59" s="52"/>
      <c r="C59" s="28"/>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43"/>
      <c r="AF59" s="43"/>
      <c r="AG59" s="43"/>
      <c r="AH59" s="43"/>
      <c r="AI59" s="43"/>
      <c r="AJ59" s="46">
        <f t="shared" si="8"/>
        <v>0</v>
      </c>
      <c r="AK59" s="46">
        <f t="shared" si="9"/>
        <v>0</v>
      </c>
      <c r="AL59" s="39"/>
      <c r="AM59" s="40"/>
      <c r="AN59" s="40"/>
      <c r="AO59" s="41"/>
    </row>
    <row r="60" spans="1:41" ht="14.1" customHeight="1">
      <c r="A60" s="42">
        <v>32</v>
      </c>
      <c r="B60" s="52"/>
      <c r="C60" s="28"/>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43"/>
      <c r="AF60" s="43"/>
      <c r="AG60" s="43"/>
      <c r="AH60" s="43"/>
      <c r="AI60" s="43"/>
      <c r="AJ60" s="46">
        <f t="shared" si="8"/>
        <v>0</v>
      </c>
      <c r="AK60" s="46">
        <f t="shared" si="9"/>
        <v>0</v>
      </c>
      <c r="AL60" s="39"/>
      <c r="AM60" s="40"/>
      <c r="AN60" s="40"/>
      <c r="AO60" s="41"/>
    </row>
    <row r="61" spans="1:41" ht="14.1" customHeight="1">
      <c r="A61" s="42">
        <v>33</v>
      </c>
      <c r="B61" s="52"/>
      <c r="C61" s="28"/>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43"/>
      <c r="AF61" s="43"/>
      <c r="AG61" s="43"/>
      <c r="AH61" s="43"/>
      <c r="AI61" s="43"/>
      <c r="AJ61" s="46">
        <f t="shared" si="8"/>
        <v>0</v>
      </c>
      <c r="AK61" s="46">
        <f t="shared" si="9"/>
        <v>0</v>
      </c>
      <c r="AL61" s="39"/>
      <c r="AM61" s="40"/>
      <c r="AN61" s="40"/>
      <c r="AO61" s="41"/>
    </row>
    <row r="62" spans="1:41" ht="14.1" customHeight="1">
      <c r="A62" s="42">
        <v>34</v>
      </c>
      <c r="B62" s="56"/>
      <c r="C62" s="28"/>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43"/>
      <c r="AF62" s="43"/>
      <c r="AG62" s="43"/>
      <c r="AH62" s="43"/>
      <c r="AI62" s="43"/>
      <c r="AJ62" s="46">
        <f t="shared" si="8"/>
        <v>0</v>
      </c>
      <c r="AK62" s="46">
        <f t="shared" si="9"/>
        <v>0</v>
      </c>
      <c r="AL62" s="39"/>
      <c r="AM62" s="40"/>
      <c r="AN62" s="40"/>
      <c r="AO62" s="41"/>
    </row>
    <row r="63" spans="1:41" ht="14.1" customHeight="1">
      <c r="A63" s="42">
        <v>35</v>
      </c>
      <c r="B63" s="52"/>
      <c r="C63" s="28"/>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43"/>
      <c r="AF63" s="43"/>
      <c r="AG63" s="43"/>
      <c r="AH63" s="43"/>
      <c r="AI63" s="43"/>
      <c r="AJ63" s="46">
        <f t="shared" si="8"/>
        <v>0</v>
      </c>
      <c r="AK63" s="46">
        <f t="shared" si="9"/>
        <v>0</v>
      </c>
      <c r="AL63" s="150"/>
      <c r="AM63" s="151"/>
      <c r="AN63" s="151"/>
      <c r="AO63" s="152"/>
    </row>
    <row r="64" spans="1:41" ht="14.1" customHeight="1" thickBot="1">
      <c r="A64" s="50">
        <v>36</v>
      </c>
      <c r="B64" s="57"/>
      <c r="C64" s="28"/>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43"/>
      <c r="AF64" s="43"/>
      <c r="AG64" s="43"/>
      <c r="AH64" s="43"/>
      <c r="AI64" s="43"/>
      <c r="AJ64" s="46">
        <f t="shared" si="8"/>
        <v>0</v>
      </c>
      <c r="AK64" s="46">
        <f t="shared" si="9"/>
        <v>0</v>
      </c>
      <c r="AL64" s="150"/>
      <c r="AM64" s="151"/>
      <c r="AN64" s="151"/>
      <c r="AO64" s="152"/>
    </row>
    <row r="65" spans="1:41" ht="15.75" thickBot="1">
      <c r="A65" s="139" t="s">
        <v>35</v>
      </c>
      <c r="B65" s="140"/>
      <c r="C65" s="48"/>
      <c r="D65" s="48"/>
      <c r="E65" s="48">
        <f t="shared" ref="E65:H65" si="10">ROWS(E29:E64) - COUNTIF(E29:E64,"X")</f>
        <v>36</v>
      </c>
      <c r="F65" s="48">
        <f t="shared" si="10"/>
        <v>36</v>
      </c>
      <c r="G65" s="48">
        <f t="shared" si="10"/>
        <v>36</v>
      </c>
      <c r="H65" s="48">
        <f t="shared" si="10"/>
        <v>36</v>
      </c>
      <c r="I65" s="45">
        <f t="shared" ref="I65:AD65" si="11">COUNTIF(I29:I64,"X")</f>
        <v>0</v>
      </c>
      <c r="J65" s="48">
        <f t="shared" ref="J65:O65" si="12">ROWS(J29:J64) - COUNTIF(J29:J64,"X")</f>
        <v>36</v>
      </c>
      <c r="K65" s="48">
        <f t="shared" si="12"/>
        <v>36</v>
      </c>
      <c r="L65" s="48">
        <f t="shared" si="12"/>
        <v>36</v>
      </c>
      <c r="M65" s="48">
        <f t="shared" si="12"/>
        <v>36</v>
      </c>
      <c r="N65" s="48">
        <f t="shared" ref="N65" si="13">ROWS(N29:N64) - COUNTIF(N29:N64,"X")</f>
        <v>36</v>
      </c>
      <c r="O65" s="48">
        <f t="shared" si="12"/>
        <v>36</v>
      </c>
      <c r="P65" s="45">
        <f t="shared" si="11"/>
        <v>0</v>
      </c>
      <c r="Q65" s="48">
        <f t="shared" ref="Q65:V65" si="14">ROWS(Q29:Q64) - COUNTIF(Q29:Q64,"X")</f>
        <v>36</v>
      </c>
      <c r="R65" s="48">
        <f t="shared" si="14"/>
        <v>36</v>
      </c>
      <c r="S65" s="48">
        <f t="shared" si="14"/>
        <v>36</v>
      </c>
      <c r="T65" s="48">
        <f t="shared" si="14"/>
        <v>36</v>
      </c>
      <c r="U65" s="48">
        <f t="shared" si="14"/>
        <v>36</v>
      </c>
      <c r="V65" s="48">
        <f t="shared" si="14"/>
        <v>36</v>
      </c>
      <c r="W65" s="45">
        <f t="shared" si="11"/>
        <v>0</v>
      </c>
      <c r="X65" s="48">
        <f t="shared" ref="X65:AC65" si="15">ROWS(X29:X64) - COUNTIF(X29:X64,"X")</f>
        <v>36</v>
      </c>
      <c r="Y65" s="48">
        <f t="shared" si="15"/>
        <v>36</v>
      </c>
      <c r="Z65" s="48">
        <f t="shared" si="15"/>
        <v>36</v>
      </c>
      <c r="AA65" s="48">
        <f t="shared" si="15"/>
        <v>36</v>
      </c>
      <c r="AB65" s="48">
        <f t="shared" si="15"/>
        <v>36</v>
      </c>
      <c r="AC65" s="48">
        <f t="shared" si="15"/>
        <v>36</v>
      </c>
      <c r="AD65" s="45">
        <f t="shared" si="11"/>
        <v>0</v>
      </c>
      <c r="AE65" s="48">
        <f t="shared" ref="AE65:AI65" si="16">ROWS(AE29:AE64) - COUNTIF(AE29:AE64,"X")</f>
        <v>36</v>
      </c>
      <c r="AF65" s="48">
        <f t="shared" si="16"/>
        <v>36</v>
      </c>
      <c r="AG65" s="48">
        <f t="shared" si="16"/>
        <v>36</v>
      </c>
      <c r="AH65" s="48">
        <f t="shared" si="16"/>
        <v>36</v>
      </c>
      <c r="AI65" s="48">
        <f t="shared" si="16"/>
        <v>36</v>
      </c>
      <c r="AJ65" s="47">
        <f>SUM(AJ29:AJ64)</f>
        <v>0</v>
      </c>
      <c r="AK65" s="47">
        <f>SUM(AK29:AK64)</f>
        <v>0</v>
      </c>
      <c r="AL65" s="141">
        <f>SUM(E65:AI65)</f>
        <v>972</v>
      </c>
      <c r="AM65" s="141"/>
      <c r="AN65" s="141"/>
      <c r="AO65" s="142"/>
    </row>
    <row r="66" spans="1:41" ht="15" customHeight="1" thickBot="1">
      <c r="A66" s="139" t="s">
        <v>36</v>
      </c>
      <c r="B66" s="140"/>
      <c r="C66" s="44"/>
      <c r="D66" s="44"/>
      <c r="E66" s="44">
        <f>SUM(E28,E65)</f>
        <v>49</v>
      </c>
      <c r="F66" s="44">
        <f>SUM(F28,F65)</f>
        <v>50</v>
      </c>
      <c r="G66" s="44">
        <f>SUM(G28,G65)</f>
        <v>50</v>
      </c>
      <c r="H66" s="44">
        <f>SUM(H28,H65)</f>
        <v>50</v>
      </c>
      <c r="I66" s="21"/>
      <c r="J66" s="44">
        <f t="shared" ref="J66:O66" si="17">SUM(J28,J65)</f>
        <v>50</v>
      </c>
      <c r="K66" s="44">
        <f t="shared" si="17"/>
        <v>50</v>
      </c>
      <c r="L66" s="44">
        <f t="shared" si="17"/>
        <v>50</v>
      </c>
      <c r="M66" s="44">
        <f t="shared" si="17"/>
        <v>50</v>
      </c>
      <c r="N66" s="44">
        <f t="shared" ref="N66" si="18">SUM(N28,N65)</f>
        <v>50</v>
      </c>
      <c r="O66" s="44">
        <f t="shared" si="17"/>
        <v>50</v>
      </c>
      <c r="P66" s="21"/>
      <c r="Q66" s="44">
        <f t="shared" ref="Q66:V66" si="19">SUM(Q28,Q65)</f>
        <v>50</v>
      </c>
      <c r="R66" s="44">
        <f t="shared" si="19"/>
        <v>50</v>
      </c>
      <c r="S66" s="44">
        <f t="shared" si="19"/>
        <v>50</v>
      </c>
      <c r="T66" s="44">
        <f t="shared" si="19"/>
        <v>50</v>
      </c>
      <c r="U66" s="44">
        <f t="shared" si="19"/>
        <v>50</v>
      </c>
      <c r="V66" s="44">
        <f t="shared" si="19"/>
        <v>50</v>
      </c>
      <c r="W66" s="21"/>
      <c r="X66" s="44">
        <f t="shared" ref="X66:AC66" si="20">SUM(X28,X65)</f>
        <v>50</v>
      </c>
      <c r="Y66" s="44">
        <f t="shared" si="20"/>
        <v>50</v>
      </c>
      <c r="Z66" s="44">
        <f t="shared" si="20"/>
        <v>50</v>
      </c>
      <c r="AA66" s="44">
        <f t="shared" si="20"/>
        <v>50</v>
      </c>
      <c r="AB66" s="44">
        <f t="shared" si="20"/>
        <v>50</v>
      </c>
      <c r="AC66" s="44">
        <f t="shared" si="20"/>
        <v>50</v>
      </c>
      <c r="AD66" s="21"/>
      <c r="AE66" s="44">
        <f t="shared" ref="AE66:AK66" si="21">SUM(AE28,AE65)</f>
        <v>50</v>
      </c>
      <c r="AF66" s="44">
        <f t="shared" si="21"/>
        <v>50</v>
      </c>
      <c r="AG66" s="44">
        <f t="shared" si="21"/>
        <v>50</v>
      </c>
      <c r="AH66" s="44">
        <f t="shared" si="21"/>
        <v>50</v>
      </c>
      <c r="AI66" s="44">
        <f t="shared" si="21"/>
        <v>50</v>
      </c>
      <c r="AJ66" s="47">
        <f t="shared" si="21"/>
        <v>1</v>
      </c>
      <c r="AK66" s="47">
        <f t="shared" si="21"/>
        <v>1</v>
      </c>
      <c r="AL66" s="141">
        <f>SUM(E66:AI66)</f>
        <v>1349</v>
      </c>
      <c r="AM66" s="141"/>
      <c r="AN66" s="141"/>
      <c r="AO66" s="142"/>
    </row>
    <row r="67" spans="1:41" ht="15.75" thickBot="1"/>
    <row r="68" spans="1:41" ht="38.25" customHeight="1">
      <c r="A68" s="143" t="s">
        <v>52</v>
      </c>
      <c r="B68" s="143"/>
      <c r="C68" s="8"/>
      <c r="T68" s="144" t="s">
        <v>54</v>
      </c>
      <c r="U68" s="145"/>
      <c r="V68" s="145"/>
      <c r="W68" s="145"/>
      <c r="X68" s="145"/>
      <c r="Y68" s="145"/>
      <c r="Z68" s="145"/>
      <c r="AA68" s="145"/>
      <c r="AB68" s="145"/>
      <c r="AC68" s="145"/>
      <c r="AD68" s="145"/>
      <c r="AE68" s="145"/>
      <c r="AF68" s="145"/>
      <c r="AG68" s="146"/>
      <c r="AH68" s="37"/>
      <c r="AI68" s="30"/>
      <c r="AJ68" s="84" t="s">
        <v>12</v>
      </c>
      <c r="AK68" s="147" t="s">
        <v>13</v>
      </c>
      <c r="AL68" s="147"/>
      <c r="AM68" s="148" t="s">
        <v>15</v>
      </c>
      <c r="AN68" s="148"/>
      <c r="AO68" s="149"/>
    </row>
    <row r="69" spans="1:41"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29"/>
      <c r="AJ69" s="70" t="s">
        <v>104</v>
      </c>
      <c r="AK69" s="134">
        <v>27</v>
      </c>
      <c r="AL69" s="134"/>
      <c r="AM69" s="83" t="s">
        <v>16</v>
      </c>
      <c r="AN69" s="83" t="s">
        <v>17</v>
      </c>
      <c r="AO69" s="71" t="s">
        <v>18</v>
      </c>
    </row>
    <row r="70" spans="1:41"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29"/>
      <c r="AJ70" s="126" t="s">
        <v>19</v>
      </c>
      <c r="AK70" s="127"/>
      <c r="AL70" s="127"/>
      <c r="AM70" s="79">
        <v>14</v>
      </c>
      <c r="AN70" s="79">
        <v>36</v>
      </c>
      <c r="AO70" s="80">
        <f>AM70+AN70</f>
        <v>50</v>
      </c>
    </row>
    <row r="71" spans="1:41" ht="29.1" customHeight="1" thickBot="1">
      <c r="B71" s="133" t="s">
        <v>77</v>
      </c>
      <c r="C71" s="124" t="s">
        <v>21</v>
      </c>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0"/>
      <c r="AJ71" s="126" t="s">
        <v>20</v>
      </c>
      <c r="AK71" s="127"/>
      <c r="AL71" s="127"/>
      <c r="AM71" s="79">
        <v>0</v>
      </c>
      <c r="AN71" s="79">
        <v>0</v>
      </c>
      <c r="AO71" s="80">
        <v>0</v>
      </c>
    </row>
    <row r="72" spans="1:41" ht="29.1" customHeight="1">
      <c r="B72" s="133"/>
      <c r="C72" s="132" t="s">
        <v>75</v>
      </c>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0"/>
      <c r="AJ72" s="126" t="s">
        <v>21</v>
      </c>
      <c r="AK72" s="127"/>
      <c r="AL72" s="127"/>
      <c r="AM72" s="79">
        <v>14</v>
      </c>
      <c r="AN72" s="79">
        <v>36</v>
      </c>
      <c r="AO72" s="80">
        <f>AM72+AN72</f>
        <v>50</v>
      </c>
    </row>
    <row r="73" spans="1:41" ht="29.1" customHeight="1" thickBot="1">
      <c r="B73" s="133" t="s">
        <v>80</v>
      </c>
      <c r="C73" s="124" t="s">
        <v>78</v>
      </c>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16"/>
      <c r="AJ73" s="126" t="s">
        <v>22</v>
      </c>
      <c r="AK73" s="127"/>
      <c r="AL73" s="127"/>
      <c r="AM73" s="81">
        <v>1</v>
      </c>
      <c r="AN73" s="81">
        <v>1</v>
      </c>
      <c r="AO73" s="82">
        <v>1</v>
      </c>
    </row>
    <row r="74" spans="1:41" ht="29.1" customHeight="1">
      <c r="B74" s="133"/>
      <c r="C74" s="132" t="s">
        <v>79</v>
      </c>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29"/>
      <c r="AJ74" s="121" t="s">
        <v>99</v>
      </c>
      <c r="AK74" s="122"/>
      <c r="AL74" s="122"/>
      <c r="AM74" s="79">
        <v>14</v>
      </c>
      <c r="AN74" s="79">
        <v>36</v>
      </c>
      <c r="AO74" s="80">
        <f>AM74+AN74</f>
        <v>50</v>
      </c>
    </row>
    <row r="75" spans="1:41" ht="29.1" customHeight="1">
      <c r="T75" s="100"/>
      <c r="U75" s="101"/>
      <c r="V75" s="101"/>
      <c r="W75" s="101"/>
      <c r="X75" s="101"/>
      <c r="Y75" s="101"/>
      <c r="Z75" s="101"/>
      <c r="AA75" s="101"/>
      <c r="AB75" s="101"/>
      <c r="AC75" s="101"/>
      <c r="AD75" s="101"/>
      <c r="AE75" s="101"/>
      <c r="AF75" s="101"/>
      <c r="AG75" s="102"/>
      <c r="AH75" s="36"/>
      <c r="AI75" s="29"/>
      <c r="AJ75" s="121" t="s">
        <v>98</v>
      </c>
      <c r="AK75" s="122"/>
      <c r="AL75" s="122"/>
      <c r="AM75" s="81">
        <v>1</v>
      </c>
      <c r="AN75" s="81">
        <v>1</v>
      </c>
      <c r="AO75" s="82">
        <v>1</v>
      </c>
    </row>
    <row r="76" spans="1:41" s="2" customFormat="1" ht="29.1" customHeight="1" thickBot="1">
      <c r="B76" s="123" t="s">
        <v>82</v>
      </c>
      <c r="C76" s="124" t="s">
        <v>81</v>
      </c>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29"/>
      <c r="AJ76" s="126" t="s">
        <v>23</v>
      </c>
      <c r="AK76" s="127"/>
      <c r="AL76" s="127"/>
      <c r="AM76" s="79">
        <v>0</v>
      </c>
      <c r="AN76" s="79">
        <v>0</v>
      </c>
      <c r="AO76" s="80">
        <v>0</v>
      </c>
    </row>
    <row r="77" spans="1:41" s="2" customFormat="1" ht="23.25" customHeight="1">
      <c r="B77" s="123"/>
      <c r="C77" s="128" t="s">
        <v>21</v>
      </c>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16"/>
      <c r="AJ77" s="129"/>
      <c r="AK77" s="130"/>
      <c r="AL77" s="130"/>
      <c r="AM77" s="130"/>
      <c r="AN77" s="130"/>
      <c r="AO77" s="131"/>
    </row>
    <row r="78" spans="1:41" s="2" customFormat="1" ht="23.25" customHeight="1">
      <c r="Q78" s="3"/>
      <c r="R78" s="3"/>
      <c r="S78" s="3"/>
      <c r="T78" s="100" t="s">
        <v>60</v>
      </c>
      <c r="U78" s="101"/>
      <c r="V78" s="101"/>
      <c r="W78" s="101"/>
      <c r="X78" s="101"/>
      <c r="Y78" s="101"/>
      <c r="Z78" s="101"/>
      <c r="AA78" s="101"/>
      <c r="AB78" s="101"/>
      <c r="AC78" s="101"/>
      <c r="AD78" s="101"/>
      <c r="AE78" s="101"/>
      <c r="AF78" s="101"/>
      <c r="AG78" s="102"/>
      <c r="AH78" s="36"/>
      <c r="AI78" s="29"/>
      <c r="AJ78" s="115" t="s">
        <v>24</v>
      </c>
      <c r="AK78" s="116"/>
      <c r="AL78" s="116"/>
      <c r="AM78" s="74">
        <v>0</v>
      </c>
      <c r="AN78" s="74">
        <v>0</v>
      </c>
      <c r="AO78" s="75">
        <v>0</v>
      </c>
    </row>
    <row r="79" spans="1:41"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29"/>
      <c r="AJ79" s="118" t="s">
        <v>25</v>
      </c>
      <c r="AK79" s="119"/>
      <c r="AL79" s="119"/>
      <c r="AM79" s="76">
        <v>0</v>
      </c>
      <c r="AN79" s="76">
        <v>0</v>
      </c>
      <c r="AO79" s="75">
        <v>0</v>
      </c>
    </row>
    <row r="80" spans="1:41"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29"/>
      <c r="AJ80" s="118" t="s">
        <v>26</v>
      </c>
      <c r="AK80" s="119"/>
      <c r="AL80" s="119"/>
      <c r="AM80" s="76">
        <v>0</v>
      </c>
      <c r="AN80" s="76">
        <v>0</v>
      </c>
      <c r="AO80" s="75">
        <v>0</v>
      </c>
    </row>
    <row r="81" spans="1:43" ht="25.5" customHeight="1">
      <c r="A81" s="34" t="s">
        <v>85</v>
      </c>
      <c r="T81" s="100"/>
      <c r="U81" s="101"/>
      <c r="V81" s="101"/>
      <c r="W81" s="101"/>
      <c r="X81" s="101"/>
      <c r="Y81" s="101"/>
      <c r="Z81" s="101"/>
      <c r="AA81" s="101"/>
      <c r="AB81" s="101"/>
      <c r="AC81" s="101"/>
      <c r="AD81" s="101"/>
      <c r="AE81" s="101"/>
      <c r="AF81" s="101"/>
      <c r="AG81" s="102"/>
      <c r="AH81" s="36"/>
      <c r="AI81" s="29"/>
      <c r="AJ81" s="118" t="s">
        <v>27</v>
      </c>
      <c r="AK81" s="119"/>
      <c r="AL81" s="119"/>
      <c r="AM81" s="76">
        <v>0</v>
      </c>
      <c r="AN81" s="76">
        <v>0</v>
      </c>
      <c r="AO81" s="75">
        <v>0</v>
      </c>
    </row>
    <row r="82" spans="1:43" ht="25.5" customHeight="1" thickBot="1">
      <c r="T82" s="103" t="s">
        <v>61</v>
      </c>
      <c r="U82" s="104"/>
      <c r="V82" s="104"/>
      <c r="W82" s="104"/>
      <c r="X82" s="104"/>
      <c r="Y82" s="104"/>
      <c r="Z82" s="104"/>
      <c r="AA82" s="104"/>
      <c r="AB82" s="104"/>
      <c r="AC82" s="104"/>
      <c r="AD82" s="104"/>
      <c r="AE82" s="104"/>
      <c r="AF82" s="104"/>
      <c r="AG82" s="105"/>
      <c r="AH82" s="38"/>
      <c r="AI82" s="16"/>
      <c r="AJ82" s="111" t="s">
        <v>28</v>
      </c>
      <c r="AK82" s="112"/>
      <c r="AL82" s="112"/>
      <c r="AM82" s="77">
        <v>0</v>
      </c>
      <c r="AN82" s="77">
        <v>0</v>
      </c>
      <c r="AO82" s="78">
        <v>0</v>
      </c>
      <c r="AP82" s="13"/>
      <c r="AQ82" s="13"/>
    </row>
    <row r="83" spans="1:43" ht="15" customHeight="1">
      <c r="T83" s="100" t="s">
        <v>62</v>
      </c>
      <c r="U83" s="101"/>
      <c r="V83" s="101"/>
      <c r="W83" s="101"/>
      <c r="X83" s="101"/>
      <c r="Y83" s="101"/>
      <c r="Z83" s="101"/>
      <c r="AA83" s="101"/>
      <c r="AB83" s="101"/>
      <c r="AC83" s="101"/>
      <c r="AD83" s="101"/>
      <c r="AE83" s="101"/>
      <c r="AF83" s="101"/>
      <c r="AG83" s="102"/>
      <c r="AH83" s="36"/>
      <c r="AI83" s="29"/>
      <c r="AJ83" s="10"/>
      <c r="AK83" s="10"/>
      <c r="AL83" s="10"/>
      <c r="AM83" s="10"/>
      <c r="AN83" s="10"/>
      <c r="AO83" s="10"/>
      <c r="AP83" s="10"/>
      <c r="AQ83" s="10"/>
    </row>
    <row r="84" spans="1:43">
      <c r="T84" s="100"/>
      <c r="U84" s="101"/>
      <c r="V84" s="101"/>
      <c r="W84" s="101"/>
      <c r="X84" s="101"/>
      <c r="Y84" s="101"/>
      <c r="Z84" s="101"/>
      <c r="AA84" s="101"/>
      <c r="AB84" s="101"/>
      <c r="AC84" s="101"/>
      <c r="AD84" s="101"/>
      <c r="AE84" s="101"/>
      <c r="AF84" s="101"/>
      <c r="AG84" s="102"/>
      <c r="AH84" s="36"/>
      <c r="AI84" s="29"/>
      <c r="AP84" s="14"/>
      <c r="AQ84" s="14"/>
    </row>
    <row r="85" spans="1:43" ht="15.75" thickBot="1">
      <c r="T85" s="100"/>
      <c r="U85" s="101"/>
      <c r="V85" s="101"/>
      <c r="W85" s="101"/>
      <c r="X85" s="101"/>
      <c r="Y85" s="101"/>
      <c r="Z85" s="101"/>
      <c r="AA85" s="101"/>
      <c r="AB85" s="101"/>
      <c r="AC85" s="101"/>
      <c r="AD85" s="101"/>
      <c r="AE85" s="101"/>
      <c r="AF85" s="101"/>
      <c r="AG85" s="102"/>
      <c r="AH85" s="36"/>
      <c r="AI85" s="29"/>
      <c r="AJ85" s="113" t="s">
        <v>108</v>
      </c>
      <c r="AK85" s="113"/>
      <c r="AL85" s="113"/>
      <c r="AM85" s="113"/>
      <c r="AN85" s="113"/>
      <c r="AO85" s="113"/>
      <c r="AP85" s="15"/>
      <c r="AQ85" s="15"/>
    </row>
    <row r="86" spans="1:43" ht="15" customHeight="1">
      <c r="T86" s="103" t="s">
        <v>63</v>
      </c>
      <c r="U86" s="104"/>
      <c r="V86" s="104"/>
      <c r="W86" s="104"/>
      <c r="X86" s="104"/>
      <c r="Y86" s="104"/>
      <c r="Z86" s="104"/>
      <c r="AA86" s="104"/>
      <c r="AB86" s="104"/>
      <c r="AC86" s="104"/>
      <c r="AD86" s="104"/>
      <c r="AE86" s="104"/>
      <c r="AF86" s="104"/>
      <c r="AG86" s="105"/>
      <c r="AH86" s="38"/>
      <c r="AI86" s="16"/>
      <c r="AJ86" s="114" t="s">
        <v>72</v>
      </c>
      <c r="AK86" s="114"/>
      <c r="AL86" s="114"/>
      <c r="AM86" s="114"/>
      <c r="AN86" s="114"/>
      <c r="AO86" s="114"/>
    </row>
    <row r="87" spans="1:43" ht="15" customHeight="1">
      <c r="T87" s="100" t="s">
        <v>64</v>
      </c>
      <c r="U87" s="101"/>
      <c r="V87" s="101"/>
      <c r="W87" s="101"/>
      <c r="X87" s="101"/>
      <c r="Y87" s="101"/>
      <c r="Z87" s="101"/>
      <c r="AA87" s="101"/>
      <c r="AB87" s="101"/>
      <c r="AC87" s="101"/>
      <c r="AD87" s="101"/>
      <c r="AE87" s="101"/>
      <c r="AF87" s="101"/>
      <c r="AG87" s="102"/>
      <c r="AH87" s="36"/>
      <c r="AI87" s="29"/>
    </row>
    <row r="88" spans="1:43">
      <c r="T88" s="100"/>
      <c r="U88" s="101"/>
      <c r="V88" s="101"/>
      <c r="W88" s="101"/>
      <c r="X88" s="101"/>
      <c r="Y88" s="101"/>
      <c r="Z88" s="101"/>
      <c r="AA88" s="101"/>
      <c r="AB88" s="101"/>
      <c r="AC88" s="101"/>
      <c r="AD88" s="101"/>
      <c r="AE88" s="101"/>
      <c r="AF88" s="101"/>
      <c r="AG88" s="102"/>
      <c r="AH88" s="36"/>
      <c r="AI88" s="29"/>
      <c r="AJ88" s="12" t="s">
        <v>73</v>
      </c>
    </row>
    <row r="89" spans="1:43">
      <c r="T89" s="100"/>
      <c r="U89" s="101"/>
      <c r="V89" s="101"/>
      <c r="W89" s="101"/>
      <c r="X89" s="101"/>
      <c r="Y89" s="101"/>
      <c r="Z89" s="101"/>
      <c r="AA89" s="101"/>
      <c r="AB89" s="101"/>
      <c r="AC89" s="101"/>
      <c r="AD89" s="101"/>
      <c r="AE89" s="101"/>
      <c r="AF89" s="101"/>
      <c r="AG89" s="102"/>
      <c r="AH89" s="36"/>
      <c r="AI89" s="29"/>
    </row>
    <row r="90" spans="1:43" ht="15" customHeight="1">
      <c r="T90" s="103" t="s">
        <v>65</v>
      </c>
      <c r="U90" s="104"/>
      <c r="V90" s="104"/>
      <c r="W90" s="104"/>
      <c r="X90" s="104"/>
      <c r="Y90" s="104"/>
      <c r="Z90" s="104"/>
      <c r="AA90" s="104"/>
      <c r="AB90" s="104"/>
      <c r="AC90" s="104"/>
      <c r="AD90" s="104"/>
      <c r="AE90" s="104"/>
      <c r="AF90" s="104"/>
      <c r="AG90" s="105"/>
      <c r="AH90" s="38"/>
      <c r="AI90" s="16"/>
    </row>
    <row r="91" spans="1:43" ht="15.75" customHeight="1" thickBot="1">
      <c r="T91" s="100" t="s">
        <v>66</v>
      </c>
      <c r="U91" s="101"/>
      <c r="V91" s="101"/>
      <c r="W91" s="101"/>
      <c r="X91" s="101"/>
      <c r="Y91" s="101"/>
      <c r="Z91" s="101"/>
      <c r="AA91" s="101"/>
      <c r="AB91" s="101"/>
      <c r="AC91" s="101"/>
      <c r="AD91" s="101"/>
      <c r="AE91" s="101"/>
      <c r="AF91" s="101"/>
      <c r="AG91" s="102"/>
      <c r="AH91" s="36"/>
      <c r="AI91" s="29"/>
      <c r="AJ91" s="106" t="s">
        <v>105</v>
      </c>
      <c r="AK91" s="106"/>
      <c r="AL91" s="106"/>
      <c r="AM91" s="106"/>
      <c r="AN91" s="106"/>
      <c r="AO91" s="106"/>
      <c r="AP91" s="16"/>
    </row>
    <row r="92" spans="1:43">
      <c r="T92" s="32"/>
      <c r="U92" s="13"/>
      <c r="V92" s="13"/>
      <c r="W92" s="13"/>
      <c r="X92" s="13"/>
      <c r="Y92" s="13"/>
      <c r="Z92" s="13"/>
      <c r="AA92" s="13"/>
      <c r="AB92" s="13"/>
      <c r="AC92" s="13"/>
      <c r="AD92" s="13"/>
      <c r="AE92" s="13"/>
      <c r="AF92" s="13"/>
      <c r="AG92" s="33"/>
      <c r="AH92" s="13"/>
      <c r="AI92" s="10"/>
      <c r="AJ92" s="107" t="s">
        <v>101</v>
      </c>
      <c r="AK92" s="107"/>
      <c r="AL92" s="107"/>
      <c r="AM92" s="107"/>
      <c r="AN92" s="107"/>
      <c r="AO92" s="107"/>
    </row>
    <row r="93" spans="1:43" ht="14.25" customHeight="1">
      <c r="T93" s="108" t="s">
        <v>67</v>
      </c>
      <c r="U93" s="109"/>
      <c r="V93" s="109"/>
      <c r="W93" s="109"/>
      <c r="X93" s="109"/>
      <c r="Y93" s="109"/>
      <c r="Z93" s="109"/>
      <c r="AA93" s="109"/>
      <c r="AB93" s="109"/>
      <c r="AC93" s="109"/>
      <c r="AD93" s="109"/>
      <c r="AE93" s="109"/>
      <c r="AF93" s="109"/>
      <c r="AG93" s="110"/>
      <c r="AH93" s="35"/>
      <c r="AI93" s="31"/>
    </row>
    <row r="94" spans="1:43" ht="11.25" customHeight="1">
      <c r="T94" s="91" t="s">
        <v>68</v>
      </c>
      <c r="U94" s="92"/>
      <c r="V94" s="92"/>
      <c r="W94" s="92"/>
      <c r="X94" s="92"/>
      <c r="Y94" s="92"/>
      <c r="Z94" s="92"/>
      <c r="AA94" s="92"/>
      <c r="AB94" s="92"/>
      <c r="AC94" s="92"/>
      <c r="AD94" s="92"/>
      <c r="AE94" s="92"/>
      <c r="AF94" s="92"/>
      <c r="AG94" s="93"/>
      <c r="AH94" s="11"/>
      <c r="AI94" s="15"/>
    </row>
    <row r="95" spans="1:43" ht="10.5" customHeight="1">
      <c r="T95" s="91" t="s">
        <v>69</v>
      </c>
      <c r="U95" s="92"/>
      <c r="V95" s="92"/>
      <c r="W95" s="92"/>
      <c r="X95" s="92"/>
      <c r="Y95" s="92"/>
      <c r="Z95" s="92"/>
      <c r="AA95" s="92"/>
      <c r="AB95" s="92"/>
      <c r="AC95" s="92"/>
      <c r="AD95" s="92"/>
      <c r="AE95" s="92"/>
      <c r="AF95" s="92"/>
      <c r="AG95" s="93"/>
      <c r="AH95" s="11"/>
      <c r="AI95" s="10"/>
    </row>
    <row r="96" spans="1:43" ht="12" customHeight="1">
      <c r="T96" s="91" t="s">
        <v>70</v>
      </c>
      <c r="U96" s="92"/>
      <c r="V96" s="92"/>
      <c r="W96" s="92"/>
      <c r="X96" s="92"/>
      <c r="Y96" s="92"/>
      <c r="Z96" s="92"/>
      <c r="AA96" s="92"/>
      <c r="AB96" s="92"/>
      <c r="AC96" s="92"/>
      <c r="AD96" s="92"/>
      <c r="AE96" s="92"/>
      <c r="AF96" s="92"/>
      <c r="AG96" s="93"/>
      <c r="AH96" s="11"/>
      <c r="AI96" s="15"/>
    </row>
    <row r="97" spans="20:35" ht="12" customHeight="1" thickBot="1">
      <c r="T97" s="94" t="s">
        <v>71</v>
      </c>
      <c r="U97" s="95"/>
      <c r="V97" s="95"/>
      <c r="W97" s="95"/>
      <c r="X97" s="95"/>
      <c r="Y97" s="95"/>
      <c r="Z97" s="95"/>
      <c r="AA97" s="95"/>
      <c r="AB97" s="95"/>
      <c r="AC97" s="95"/>
      <c r="AD97" s="95"/>
      <c r="AE97" s="95"/>
      <c r="AF97" s="95"/>
      <c r="AG97" s="96"/>
      <c r="AH97" s="11"/>
      <c r="AI97" s="15"/>
    </row>
  </sheetData>
  <mergeCells count="125">
    <mergeCell ref="AL11:AO11"/>
    <mergeCell ref="B12:B13"/>
    <mergeCell ref="AL12:AO12"/>
    <mergeCell ref="AL13:AO13"/>
    <mergeCell ref="A2:AO2"/>
    <mergeCell ref="C4:L4"/>
    <mergeCell ref="N4:R4"/>
    <mergeCell ref="S4:W4"/>
    <mergeCell ref="Z4:AB4"/>
    <mergeCell ref="AC4:AJ4"/>
    <mergeCell ref="AK4:AL4"/>
    <mergeCell ref="AM4:AO4"/>
    <mergeCell ref="AK6:AO6"/>
    <mergeCell ref="C6:L6"/>
    <mergeCell ref="N6:R6"/>
    <mergeCell ref="S6:W6"/>
    <mergeCell ref="X6:AA6"/>
    <mergeCell ref="AB6:AE6"/>
    <mergeCell ref="AI6:AJ6"/>
    <mergeCell ref="AL14:AO14"/>
    <mergeCell ref="AL15:AO15"/>
    <mergeCell ref="C8:L8"/>
    <mergeCell ref="M8:R8"/>
    <mergeCell ref="S8:AI8"/>
    <mergeCell ref="AK8:AO8"/>
    <mergeCell ref="A28:B28"/>
    <mergeCell ref="AL28:AO28"/>
    <mergeCell ref="AL22:AO22"/>
    <mergeCell ref="AL23:AO23"/>
    <mergeCell ref="AL24:AO24"/>
    <mergeCell ref="AL25:AO25"/>
    <mergeCell ref="AL27:AO27"/>
    <mergeCell ref="AL16:AO16"/>
    <mergeCell ref="AL17:AO17"/>
    <mergeCell ref="AL18:AO18"/>
    <mergeCell ref="AL19:AO19"/>
    <mergeCell ref="AL20:AO20"/>
    <mergeCell ref="AL21:AO21"/>
    <mergeCell ref="A10:A13"/>
    <mergeCell ref="B10:B11"/>
    <mergeCell ref="C10:AI11"/>
    <mergeCell ref="AJ10:AK12"/>
    <mergeCell ref="AL10:AO10"/>
    <mergeCell ref="AL35:AO35"/>
    <mergeCell ref="AL36:AO36"/>
    <mergeCell ref="AL37:AO37"/>
    <mergeCell ref="AL38:AO38"/>
    <mergeCell ref="AL39:AO39"/>
    <mergeCell ref="AL40:AO40"/>
    <mergeCell ref="AL29:AO29"/>
    <mergeCell ref="AL30:AO30"/>
    <mergeCell ref="AL31:AO31"/>
    <mergeCell ref="AL32:AO32"/>
    <mergeCell ref="AL33:AO33"/>
    <mergeCell ref="AL34:AO34"/>
    <mergeCell ref="AL47:AO47"/>
    <mergeCell ref="AL48:AO48"/>
    <mergeCell ref="AL49:AO49"/>
    <mergeCell ref="AL63:AO63"/>
    <mergeCell ref="AL64:AO64"/>
    <mergeCell ref="AL41:AO41"/>
    <mergeCell ref="AL42:AO42"/>
    <mergeCell ref="AL43:AO43"/>
    <mergeCell ref="AL44:AO44"/>
    <mergeCell ref="AL45:AO45"/>
    <mergeCell ref="AL46:AO46"/>
    <mergeCell ref="AM68:AO68"/>
    <mergeCell ref="A69:R69"/>
    <mergeCell ref="T69:AG70"/>
    <mergeCell ref="AK69:AL69"/>
    <mergeCell ref="A70:R70"/>
    <mergeCell ref="AJ70:AL70"/>
    <mergeCell ref="A65:B65"/>
    <mergeCell ref="AL65:AO65"/>
    <mergeCell ref="A66:B66"/>
    <mergeCell ref="AL66:AO66"/>
    <mergeCell ref="B71:B72"/>
    <mergeCell ref="C71:L71"/>
    <mergeCell ref="M71:N72"/>
    <mergeCell ref="T71:AG72"/>
    <mergeCell ref="AJ71:AL71"/>
    <mergeCell ref="C72:L72"/>
    <mergeCell ref="AJ72:AL72"/>
    <mergeCell ref="A68:B68"/>
    <mergeCell ref="T68:AG68"/>
    <mergeCell ref="AK68:AL68"/>
    <mergeCell ref="C76:L76"/>
    <mergeCell ref="M76:N77"/>
    <mergeCell ref="AJ76:AL76"/>
    <mergeCell ref="C77:L77"/>
    <mergeCell ref="T77:AG77"/>
    <mergeCell ref="AJ77:AO77"/>
    <mergeCell ref="B73:B74"/>
    <mergeCell ref="C73:L73"/>
    <mergeCell ref="M73:N74"/>
    <mergeCell ref="T73:AG73"/>
    <mergeCell ref="AJ73:AL73"/>
    <mergeCell ref="C74:L74"/>
    <mergeCell ref="T74:AG76"/>
    <mergeCell ref="AJ74:AL74"/>
    <mergeCell ref="AJ75:AL75"/>
    <mergeCell ref="B76:B77"/>
    <mergeCell ref="T82:AG82"/>
    <mergeCell ref="AJ82:AL82"/>
    <mergeCell ref="T83:AG85"/>
    <mergeCell ref="AJ85:AO85"/>
    <mergeCell ref="T86:AG86"/>
    <mergeCell ref="AJ86:AO86"/>
    <mergeCell ref="T78:AG81"/>
    <mergeCell ref="AJ78:AL78"/>
    <mergeCell ref="A79:R79"/>
    <mergeCell ref="AJ79:AL79"/>
    <mergeCell ref="A80:R80"/>
    <mergeCell ref="AJ80:AL80"/>
    <mergeCell ref="AJ81:AL81"/>
    <mergeCell ref="T94:AG94"/>
    <mergeCell ref="T95:AG95"/>
    <mergeCell ref="T96:AG96"/>
    <mergeCell ref="T97:AG97"/>
    <mergeCell ref="T87:AG89"/>
    <mergeCell ref="T90:AG90"/>
    <mergeCell ref="T91:AG91"/>
    <mergeCell ref="AJ91:AO91"/>
    <mergeCell ref="AJ92:AO92"/>
    <mergeCell ref="T93:AG93"/>
  </mergeCells>
  <pageMargins left="0.12" right="0.12" top="0.33" bottom="0.12" header="0.3" footer="0.3"/>
  <pageSetup paperSize="9" scale="73"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Y97"/>
  <sheetViews>
    <sheetView zoomScale="85" zoomScaleNormal="85" workbookViewId="0">
      <selection activeCell="AG14" sqref="AG14:AG66"/>
    </sheetView>
  </sheetViews>
  <sheetFormatPr defaultRowHeight="15"/>
  <cols>
    <col min="1" max="1" width="4.140625" customWidth="1"/>
    <col min="2" max="2" width="33.140625" customWidth="1"/>
    <col min="3" max="3" width="3.85546875" customWidth="1"/>
    <col min="4" max="4" width="0.28515625" customWidth="1"/>
    <col min="5" max="10" width="3.85546875" customWidth="1"/>
    <col min="11" max="11" width="0.28515625" customWidth="1"/>
    <col min="12" max="17" width="3.85546875" customWidth="1"/>
    <col min="18" max="18" width="0.28515625" customWidth="1"/>
    <col min="19" max="24" width="3.85546875" style="1" customWidth="1"/>
    <col min="25" max="25" width="0.28515625" customWidth="1"/>
    <col min="26" max="31" width="3.85546875" style="3" customWidth="1"/>
    <col min="32" max="32" width="0.28515625" customWidth="1"/>
    <col min="33"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5"/>
      <c r="E4" s="166" t="s">
        <v>38</v>
      </c>
      <c r="F4" s="167"/>
      <c r="G4" s="167"/>
      <c r="H4" s="167"/>
      <c r="I4" s="167"/>
      <c r="J4" s="167"/>
      <c r="K4" s="167"/>
      <c r="L4" s="167"/>
      <c r="M4" s="167"/>
      <c r="N4" s="168"/>
      <c r="P4" s="170" t="s">
        <v>47</v>
      </c>
      <c r="Q4" s="170"/>
      <c r="R4" s="170"/>
      <c r="S4" s="170"/>
      <c r="T4" s="170"/>
      <c r="U4" s="166">
        <v>405431</v>
      </c>
      <c r="V4" s="167"/>
      <c r="W4" s="167"/>
      <c r="X4" s="167"/>
      <c r="Y4" s="168"/>
      <c r="Z4" s="4"/>
      <c r="AB4" s="190" t="s">
        <v>45</v>
      </c>
      <c r="AC4" s="190"/>
      <c r="AD4" s="190"/>
      <c r="AE4" s="166" t="s">
        <v>46</v>
      </c>
      <c r="AF4" s="167"/>
      <c r="AG4" s="167"/>
      <c r="AH4" s="167"/>
      <c r="AI4" s="167"/>
      <c r="AJ4" s="167"/>
      <c r="AK4" s="168"/>
      <c r="AL4" s="170" t="s">
        <v>42</v>
      </c>
      <c r="AM4" s="171"/>
      <c r="AN4" s="166" t="s">
        <v>43</v>
      </c>
      <c r="AO4" s="167"/>
      <c r="AP4" s="168"/>
    </row>
    <row r="5" spans="1:51" ht="9.9499999999999993" customHeight="1">
      <c r="P5" s="5"/>
      <c r="Q5" s="5"/>
      <c r="R5" s="5"/>
      <c r="S5" s="5"/>
      <c r="T5" s="5"/>
      <c r="AK5" s="5"/>
      <c r="AL5" s="5"/>
      <c r="AM5" s="5"/>
      <c r="AN5" s="5"/>
      <c r="AO5" s="5"/>
      <c r="AP5" s="5"/>
    </row>
    <row r="6" spans="1:51">
      <c r="B6" s="5" t="s">
        <v>40</v>
      </c>
      <c r="C6" s="5"/>
      <c r="D6" s="5"/>
      <c r="E6" s="166" t="s">
        <v>39</v>
      </c>
      <c r="F6" s="167"/>
      <c r="G6" s="167"/>
      <c r="H6" s="167"/>
      <c r="I6" s="167"/>
      <c r="J6" s="167"/>
      <c r="K6" s="167"/>
      <c r="L6" s="167"/>
      <c r="M6" s="167"/>
      <c r="N6" s="168"/>
      <c r="P6" s="170" t="s">
        <v>48</v>
      </c>
      <c r="Q6" s="170"/>
      <c r="R6" s="170"/>
      <c r="S6" s="170"/>
      <c r="T6" s="170"/>
      <c r="U6" s="166" t="s">
        <v>109</v>
      </c>
      <c r="V6" s="167"/>
      <c r="W6" s="167"/>
      <c r="X6" s="167"/>
      <c r="Y6" s="168"/>
      <c r="Z6" s="170" t="s">
        <v>50</v>
      </c>
      <c r="AA6" s="170"/>
      <c r="AB6" s="170"/>
      <c r="AC6" s="171"/>
      <c r="AD6" s="166">
        <v>11</v>
      </c>
      <c r="AE6" s="167"/>
      <c r="AF6" s="167"/>
      <c r="AG6" s="168"/>
      <c r="AH6" s="24"/>
      <c r="AI6" s="24"/>
      <c r="AJ6" s="24"/>
      <c r="AK6" s="5"/>
      <c r="AL6" s="166" t="s">
        <v>111</v>
      </c>
      <c r="AM6" s="167"/>
      <c r="AN6" s="167"/>
      <c r="AO6" s="167"/>
      <c r="AP6" s="168"/>
    </row>
    <row r="7" spans="1:51" ht="9.9499999999999993" customHeight="1">
      <c r="P7" s="5"/>
      <c r="Q7" s="5"/>
      <c r="R7" s="5"/>
      <c r="S7" s="5"/>
      <c r="T7" s="5"/>
      <c r="AK7" s="5"/>
      <c r="AL7" s="5"/>
      <c r="AM7" s="5"/>
      <c r="AN7" s="5"/>
      <c r="AO7" s="5"/>
      <c r="AP7" s="5"/>
    </row>
    <row r="8" spans="1:51">
      <c r="B8" s="5" t="s">
        <v>41</v>
      </c>
      <c r="C8" s="5"/>
      <c r="D8" s="5"/>
      <c r="E8" s="166" t="s">
        <v>110</v>
      </c>
      <c r="F8" s="167"/>
      <c r="G8" s="167"/>
      <c r="H8" s="167"/>
      <c r="I8" s="167"/>
      <c r="J8" s="167"/>
      <c r="K8" s="167"/>
      <c r="L8" s="167"/>
      <c r="M8" s="167"/>
      <c r="N8" s="168"/>
      <c r="O8" s="169" t="s">
        <v>49</v>
      </c>
      <c r="P8" s="170"/>
      <c r="Q8" s="170"/>
      <c r="R8" s="170"/>
      <c r="S8" s="170"/>
      <c r="T8" s="171"/>
      <c r="U8" s="172"/>
      <c r="V8" s="151"/>
      <c r="W8" s="151"/>
      <c r="X8" s="151"/>
      <c r="Y8" s="151"/>
      <c r="Z8" s="151"/>
      <c r="AA8" s="151"/>
      <c r="AB8" s="151"/>
      <c r="AC8" s="151"/>
      <c r="AD8" s="151"/>
      <c r="AE8" s="151"/>
      <c r="AF8" s="151"/>
      <c r="AG8" s="151"/>
      <c r="AH8" s="151"/>
      <c r="AI8" s="151"/>
      <c r="AJ8" s="151"/>
      <c r="AK8" s="26"/>
      <c r="AL8" s="166" t="s">
        <v>14</v>
      </c>
      <c r="AM8" s="167"/>
      <c r="AN8" s="167"/>
      <c r="AO8" s="167"/>
      <c r="AP8" s="168"/>
    </row>
    <row r="9" spans="1:51" ht="15.75" thickBot="1"/>
    <row r="10" spans="1:51" ht="13.5" customHeight="1">
      <c r="A10" s="174" t="s">
        <v>0</v>
      </c>
      <c r="B10" s="177" t="s">
        <v>1</v>
      </c>
      <c r="C10" s="191" t="s">
        <v>30</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92"/>
      <c r="AK10" s="181" t="s">
        <v>11</v>
      </c>
      <c r="AL10" s="149"/>
      <c r="AM10" s="186" t="s">
        <v>29</v>
      </c>
      <c r="AN10" s="187"/>
      <c r="AO10" s="187"/>
      <c r="AP10" s="188"/>
    </row>
    <row r="11" spans="1:51" ht="25.5" customHeight="1" thickBot="1">
      <c r="A11" s="175"/>
      <c r="B11" s="178"/>
      <c r="C11" s="193"/>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5"/>
      <c r="AK11" s="182"/>
      <c r="AL11" s="183"/>
      <c r="AM11" s="158" t="s">
        <v>31</v>
      </c>
      <c r="AN11" s="159"/>
      <c r="AO11" s="159"/>
      <c r="AP11" s="160"/>
    </row>
    <row r="12" spans="1:51" ht="25.5" customHeight="1" thickBot="1">
      <c r="A12" s="175"/>
      <c r="B12" s="161" t="s">
        <v>2</v>
      </c>
      <c r="C12" s="60">
        <v>1</v>
      </c>
      <c r="D12" s="62"/>
      <c r="E12" s="60">
        <v>3</v>
      </c>
      <c r="F12" s="61">
        <v>4</v>
      </c>
      <c r="G12" s="61">
        <v>5</v>
      </c>
      <c r="H12" s="61">
        <v>6</v>
      </c>
      <c r="I12" s="61">
        <v>7</v>
      </c>
      <c r="J12" s="61">
        <v>8</v>
      </c>
      <c r="K12" s="62"/>
      <c r="L12" s="61">
        <v>10</v>
      </c>
      <c r="M12" s="61">
        <v>11</v>
      </c>
      <c r="N12" s="61">
        <v>12</v>
      </c>
      <c r="O12" s="61">
        <v>13</v>
      </c>
      <c r="P12" s="61">
        <v>14</v>
      </c>
      <c r="Q12" s="61">
        <v>15</v>
      </c>
      <c r="R12" s="63"/>
      <c r="S12" s="61">
        <v>17</v>
      </c>
      <c r="T12" s="61">
        <v>18</v>
      </c>
      <c r="U12" s="61">
        <v>19</v>
      </c>
      <c r="V12" s="61">
        <v>20</v>
      </c>
      <c r="W12" s="61">
        <v>21</v>
      </c>
      <c r="X12" s="61">
        <v>22</v>
      </c>
      <c r="Y12" s="63"/>
      <c r="Z12" s="61">
        <v>24</v>
      </c>
      <c r="AA12" s="61">
        <v>25</v>
      </c>
      <c r="AB12" s="61">
        <v>26</v>
      </c>
      <c r="AC12" s="61">
        <v>27</v>
      </c>
      <c r="AD12" s="61">
        <v>28</v>
      </c>
      <c r="AE12" s="61">
        <v>29</v>
      </c>
      <c r="AF12" s="63"/>
      <c r="AG12" s="61">
        <v>31</v>
      </c>
      <c r="AH12" s="61"/>
      <c r="AI12" s="61"/>
      <c r="AJ12" s="64"/>
      <c r="AK12" s="184"/>
      <c r="AL12" s="185"/>
      <c r="AM12" s="158" t="s">
        <v>32</v>
      </c>
      <c r="AN12" s="159"/>
      <c r="AO12" s="159"/>
      <c r="AP12" s="160"/>
    </row>
    <row r="13" spans="1:51" ht="27" customHeight="1" thickBot="1">
      <c r="A13" s="176"/>
      <c r="B13" s="162"/>
      <c r="C13" s="65" t="s">
        <v>8</v>
      </c>
      <c r="D13" s="67"/>
      <c r="E13" s="65" t="s">
        <v>3</v>
      </c>
      <c r="F13" s="66" t="s">
        <v>4</v>
      </c>
      <c r="G13" s="66" t="s">
        <v>5</v>
      </c>
      <c r="H13" s="66" t="s">
        <v>6</v>
      </c>
      <c r="I13" s="66" t="s">
        <v>7</v>
      </c>
      <c r="J13" s="66" t="s">
        <v>8</v>
      </c>
      <c r="K13" s="67"/>
      <c r="L13" s="66" t="s">
        <v>3</v>
      </c>
      <c r="M13" s="66" t="s">
        <v>4</v>
      </c>
      <c r="N13" s="66" t="s">
        <v>5</v>
      </c>
      <c r="O13" s="66" t="s">
        <v>6</v>
      </c>
      <c r="P13" s="66" t="s">
        <v>7</v>
      </c>
      <c r="Q13" s="66" t="s">
        <v>8</v>
      </c>
      <c r="R13" s="68"/>
      <c r="S13" s="66" t="s">
        <v>3</v>
      </c>
      <c r="T13" s="66" t="s">
        <v>4</v>
      </c>
      <c r="U13" s="66" t="s">
        <v>5</v>
      </c>
      <c r="V13" s="66" t="s">
        <v>6</v>
      </c>
      <c r="W13" s="66" t="s">
        <v>7</v>
      </c>
      <c r="X13" s="66" t="s">
        <v>8</v>
      </c>
      <c r="Y13" s="68"/>
      <c r="Z13" s="66" t="s">
        <v>3</v>
      </c>
      <c r="AA13" s="66" t="s">
        <v>4</v>
      </c>
      <c r="AB13" s="66" t="s">
        <v>5</v>
      </c>
      <c r="AC13" s="66" t="s">
        <v>6</v>
      </c>
      <c r="AD13" s="66" t="s">
        <v>7</v>
      </c>
      <c r="AE13" s="66" t="s">
        <v>8</v>
      </c>
      <c r="AF13" s="68"/>
      <c r="AG13" s="66" t="s">
        <v>3</v>
      </c>
      <c r="AH13" s="66" t="s">
        <v>4</v>
      </c>
      <c r="AI13" s="66" t="s">
        <v>5</v>
      </c>
      <c r="AJ13" s="69" t="s">
        <v>6</v>
      </c>
      <c r="AK13" s="72" t="s">
        <v>9</v>
      </c>
      <c r="AL13" s="73" t="s">
        <v>10</v>
      </c>
      <c r="AM13" s="163" t="s">
        <v>33</v>
      </c>
      <c r="AN13" s="164"/>
      <c r="AO13" s="164"/>
      <c r="AP13" s="165"/>
    </row>
    <row r="14" spans="1:51" ht="14.1" customHeight="1">
      <c r="A14" s="49">
        <v>1</v>
      </c>
      <c r="B14" s="51"/>
      <c r="C14" s="85" t="s">
        <v>107</v>
      </c>
      <c r="D14" s="22"/>
      <c r="E14" s="85" t="s">
        <v>107</v>
      </c>
      <c r="F14" s="85"/>
      <c r="G14" s="85"/>
      <c r="H14" s="85"/>
      <c r="I14" s="43"/>
      <c r="J14" s="43"/>
      <c r="K14" s="22"/>
      <c r="L14" s="43"/>
      <c r="M14" s="43"/>
      <c r="N14" s="43"/>
      <c r="O14" s="43"/>
      <c r="P14" s="97" t="s">
        <v>115</v>
      </c>
      <c r="Q14" s="43"/>
      <c r="R14" s="22"/>
      <c r="S14" s="43"/>
      <c r="T14" s="43"/>
      <c r="U14" s="43"/>
      <c r="V14" s="43"/>
      <c r="W14" s="43"/>
      <c r="X14" s="43"/>
      <c r="Y14" s="22"/>
      <c r="Z14" s="43"/>
      <c r="AA14" s="43"/>
      <c r="AB14" s="43"/>
      <c r="AC14" s="43"/>
      <c r="AD14" s="43"/>
      <c r="AE14" s="43"/>
      <c r="AF14" s="22"/>
      <c r="AG14" s="97" t="s">
        <v>114</v>
      </c>
      <c r="AH14" s="43"/>
      <c r="AI14" s="43"/>
      <c r="AJ14" s="43"/>
      <c r="AK14" s="46">
        <f>COUNTIF(C14:AJ14,"X")</f>
        <v>2</v>
      </c>
      <c r="AL14" s="46">
        <f>COUNTIF(C14:AJ14,"T")</f>
        <v>0</v>
      </c>
      <c r="AM14" s="153"/>
      <c r="AN14" s="154"/>
      <c r="AO14" s="154"/>
      <c r="AP14" s="155"/>
    </row>
    <row r="15" spans="1:51" ht="14.1" customHeight="1">
      <c r="A15" s="42">
        <v>2</v>
      </c>
      <c r="B15" s="52"/>
      <c r="C15" s="85"/>
      <c r="D15" s="23"/>
      <c r="E15" s="85"/>
      <c r="F15" s="85"/>
      <c r="G15" s="43"/>
      <c r="H15" s="43"/>
      <c r="I15" s="43"/>
      <c r="J15" s="43"/>
      <c r="K15" s="23"/>
      <c r="L15" s="43"/>
      <c r="M15" s="43"/>
      <c r="N15" s="43"/>
      <c r="O15" s="43"/>
      <c r="P15" s="98"/>
      <c r="Q15" s="43"/>
      <c r="R15" s="23"/>
      <c r="S15" s="43"/>
      <c r="T15" s="43"/>
      <c r="U15" s="43"/>
      <c r="V15" s="43"/>
      <c r="W15" s="43"/>
      <c r="X15" s="43"/>
      <c r="Y15" s="22"/>
      <c r="Z15" s="43"/>
      <c r="AA15" s="43"/>
      <c r="AB15" s="43"/>
      <c r="AC15" s="43"/>
      <c r="AD15" s="43"/>
      <c r="AE15" s="43"/>
      <c r="AF15" s="23"/>
      <c r="AG15" s="98"/>
      <c r="AH15" s="43"/>
      <c r="AI15" s="43"/>
      <c r="AJ15" s="43"/>
      <c r="AK15" s="46">
        <f t="shared" ref="AK15:AK27" si="0">COUNTIF(C15:AJ15,"X")</f>
        <v>0</v>
      </c>
      <c r="AL15" s="46">
        <f t="shared" ref="AL15:AL27" si="1">COUNTIF(C15:AJ15,"T")</f>
        <v>0</v>
      </c>
      <c r="AM15" s="150"/>
      <c r="AN15" s="151"/>
      <c r="AO15" s="151"/>
      <c r="AP15" s="152"/>
    </row>
    <row r="16" spans="1:51" ht="14.1" customHeight="1">
      <c r="A16" s="42">
        <v>3</v>
      </c>
      <c r="B16" s="53"/>
      <c r="C16" s="85"/>
      <c r="D16" s="23"/>
      <c r="E16" s="85"/>
      <c r="F16" s="85"/>
      <c r="G16" s="43"/>
      <c r="H16" s="43"/>
      <c r="I16" s="43"/>
      <c r="J16" s="43"/>
      <c r="K16" s="23"/>
      <c r="L16" s="43"/>
      <c r="M16" s="43"/>
      <c r="N16" s="43"/>
      <c r="O16" s="43"/>
      <c r="P16" s="98"/>
      <c r="Q16" s="43"/>
      <c r="R16" s="23"/>
      <c r="S16" s="43"/>
      <c r="T16" s="43"/>
      <c r="U16" s="43"/>
      <c r="V16" s="43"/>
      <c r="W16" s="43"/>
      <c r="X16" s="43"/>
      <c r="Y16" s="22"/>
      <c r="Z16" s="43"/>
      <c r="AA16" s="43"/>
      <c r="AB16" s="43"/>
      <c r="AC16" s="43"/>
      <c r="AD16" s="43"/>
      <c r="AE16" s="43"/>
      <c r="AF16" s="23"/>
      <c r="AG16" s="98"/>
      <c r="AH16" s="43"/>
      <c r="AI16" s="43"/>
      <c r="AJ16" s="43"/>
      <c r="AK16" s="46">
        <f t="shared" si="0"/>
        <v>0</v>
      </c>
      <c r="AL16" s="46">
        <f t="shared" si="1"/>
        <v>0</v>
      </c>
      <c r="AM16" s="150"/>
      <c r="AN16" s="151"/>
      <c r="AO16" s="151"/>
      <c r="AP16" s="152"/>
    </row>
    <row r="17" spans="1:42" ht="14.1" customHeight="1">
      <c r="A17" s="42">
        <v>4</v>
      </c>
      <c r="B17" s="53"/>
      <c r="C17" s="85"/>
      <c r="D17" s="23"/>
      <c r="E17" s="85"/>
      <c r="F17" s="85"/>
      <c r="G17" s="43"/>
      <c r="H17" s="43"/>
      <c r="I17" s="43"/>
      <c r="J17" s="43"/>
      <c r="K17" s="23"/>
      <c r="L17" s="43"/>
      <c r="M17" s="43"/>
      <c r="N17" s="43"/>
      <c r="O17" s="43"/>
      <c r="P17" s="98"/>
      <c r="Q17" s="43"/>
      <c r="R17" s="23"/>
      <c r="S17" s="43"/>
      <c r="T17" s="43"/>
      <c r="U17" s="43"/>
      <c r="V17" s="43"/>
      <c r="W17" s="43"/>
      <c r="X17" s="43"/>
      <c r="Y17" s="22"/>
      <c r="Z17" s="43"/>
      <c r="AA17" s="43"/>
      <c r="AB17" s="43"/>
      <c r="AC17" s="43"/>
      <c r="AD17" s="43"/>
      <c r="AE17" s="43"/>
      <c r="AF17" s="23"/>
      <c r="AG17" s="98"/>
      <c r="AH17" s="43"/>
      <c r="AI17" s="43"/>
      <c r="AJ17" s="43"/>
      <c r="AK17" s="46">
        <f t="shared" si="0"/>
        <v>0</v>
      </c>
      <c r="AL17" s="46">
        <f t="shared" si="1"/>
        <v>0</v>
      </c>
      <c r="AM17" s="150"/>
      <c r="AN17" s="151"/>
      <c r="AO17" s="151"/>
      <c r="AP17" s="152"/>
    </row>
    <row r="18" spans="1:42" ht="14.1" customHeight="1">
      <c r="A18" s="42">
        <v>5</v>
      </c>
      <c r="B18" s="53"/>
      <c r="C18" s="85"/>
      <c r="D18" s="23"/>
      <c r="E18" s="85"/>
      <c r="F18" s="85"/>
      <c r="G18" s="43"/>
      <c r="H18" s="43"/>
      <c r="I18" s="43"/>
      <c r="J18" s="43"/>
      <c r="K18" s="23"/>
      <c r="L18" s="43"/>
      <c r="M18" s="43"/>
      <c r="N18" s="43"/>
      <c r="O18" s="43"/>
      <c r="P18" s="98"/>
      <c r="Q18" s="43"/>
      <c r="R18" s="23"/>
      <c r="S18" s="43"/>
      <c r="T18" s="43"/>
      <c r="U18" s="43"/>
      <c r="V18" s="43"/>
      <c r="W18" s="43"/>
      <c r="X18" s="43"/>
      <c r="Y18" s="22"/>
      <c r="Z18" s="43"/>
      <c r="AA18" s="43"/>
      <c r="AB18" s="43"/>
      <c r="AC18" s="43"/>
      <c r="AD18" s="43"/>
      <c r="AE18" s="43"/>
      <c r="AF18" s="23"/>
      <c r="AG18" s="98"/>
      <c r="AH18" s="43"/>
      <c r="AI18" s="43"/>
      <c r="AJ18" s="43"/>
      <c r="AK18" s="46">
        <f t="shared" si="0"/>
        <v>0</v>
      </c>
      <c r="AL18" s="46">
        <f t="shared" si="1"/>
        <v>0</v>
      </c>
      <c r="AM18" s="150"/>
      <c r="AN18" s="151"/>
      <c r="AO18" s="151"/>
      <c r="AP18" s="152"/>
    </row>
    <row r="19" spans="1:42" ht="14.1" customHeight="1">
      <c r="A19" s="42">
        <v>6</v>
      </c>
      <c r="B19" s="53"/>
      <c r="C19" s="85"/>
      <c r="D19" s="23"/>
      <c r="E19" s="85"/>
      <c r="F19" s="85"/>
      <c r="G19" s="43"/>
      <c r="H19" s="43"/>
      <c r="I19" s="43"/>
      <c r="J19" s="43"/>
      <c r="K19" s="23"/>
      <c r="L19" s="43"/>
      <c r="M19" s="43"/>
      <c r="N19" s="43"/>
      <c r="O19" s="43"/>
      <c r="P19" s="98"/>
      <c r="Q19" s="43"/>
      <c r="R19" s="23"/>
      <c r="S19" s="43"/>
      <c r="T19" s="43"/>
      <c r="U19" s="43"/>
      <c r="V19" s="43"/>
      <c r="W19" s="43"/>
      <c r="X19" s="43"/>
      <c r="Y19" s="22"/>
      <c r="Z19" s="43"/>
      <c r="AA19" s="43"/>
      <c r="AB19" s="43"/>
      <c r="AC19" s="43"/>
      <c r="AD19" s="43"/>
      <c r="AE19" s="43"/>
      <c r="AF19" s="23"/>
      <c r="AG19" s="98"/>
      <c r="AH19" s="43"/>
      <c r="AI19" s="43"/>
      <c r="AJ19" s="43"/>
      <c r="AK19" s="46">
        <f t="shared" si="0"/>
        <v>0</v>
      </c>
      <c r="AL19" s="46">
        <f t="shared" si="1"/>
        <v>0</v>
      </c>
      <c r="AM19" s="150"/>
      <c r="AN19" s="151"/>
      <c r="AO19" s="151"/>
      <c r="AP19" s="152"/>
    </row>
    <row r="20" spans="1:42" ht="14.1" customHeight="1">
      <c r="A20" s="42">
        <v>7</v>
      </c>
      <c r="B20" s="53"/>
      <c r="C20" s="85"/>
      <c r="D20" s="23"/>
      <c r="E20" s="85"/>
      <c r="F20" s="85"/>
      <c r="G20" s="43"/>
      <c r="H20" s="43"/>
      <c r="I20" s="43"/>
      <c r="J20" s="43"/>
      <c r="K20" s="23"/>
      <c r="L20" s="43"/>
      <c r="M20" s="43"/>
      <c r="N20" s="43"/>
      <c r="O20" s="43"/>
      <c r="P20" s="98"/>
      <c r="Q20" s="43"/>
      <c r="R20" s="23"/>
      <c r="S20" s="43"/>
      <c r="T20" s="43"/>
      <c r="U20" s="43"/>
      <c r="V20" s="43"/>
      <c r="W20" s="43"/>
      <c r="X20" s="43"/>
      <c r="Y20" s="22"/>
      <c r="Z20" s="43"/>
      <c r="AA20" s="43"/>
      <c r="AB20" s="43"/>
      <c r="AC20" s="43"/>
      <c r="AD20" s="43"/>
      <c r="AE20" s="43"/>
      <c r="AF20" s="23"/>
      <c r="AG20" s="98"/>
      <c r="AH20" s="43"/>
      <c r="AI20" s="43"/>
      <c r="AJ20" s="43"/>
      <c r="AK20" s="46">
        <f t="shared" si="0"/>
        <v>0</v>
      </c>
      <c r="AL20" s="46">
        <f t="shared" si="1"/>
        <v>0</v>
      </c>
      <c r="AM20" s="150"/>
      <c r="AN20" s="151"/>
      <c r="AO20" s="151"/>
      <c r="AP20" s="152"/>
    </row>
    <row r="21" spans="1:42" ht="14.1" customHeight="1">
      <c r="A21" s="42">
        <v>8</v>
      </c>
      <c r="B21" s="53"/>
      <c r="C21" s="85"/>
      <c r="D21" s="23"/>
      <c r="E21" s="85"/>
      <c r="F21" s="85"/>
      <c r="G21" s="43"/>
      <c r="H21" s="43"/>
      <c r="I21" s="43"/>
      <c r="J21" s="43"/>
      <c r="K21" s="23"/>
      <c r="L21" s="43"/>
      <c r="M21" s="43"/>
      <c r="N21" s="43"/>
      <c r="O21" s="43"/>
      <c r="P21" s="98"/>
      <c r="Q21" s="43"/>
      <c r="R21" s="23"/>
      <c r="S21" s="43"/>
      <c r="T21" s="43"/>
      <c r="U21" s="43"/>
      <c r="V21" s="43"/>
      <c r="W21" s="43"/>
      <c r="X21" s="43"/>
      <c r="Y21" s="22"/>
      <c r="Z21" s="43"/>
      <c r="AA21" s="43"/>
      <c r="AB21" s="43"/>
      <c r="AC21" s="43"/>
      <c r="AD21" s="43"/>
      <c r="AE21" s="43"/>
      <c r="AF21" s="23"/>
      <c r="AG21" s="98"/>
      <c r="AH21" s="43"/>
      <c r="AI21" s="43"/>
      <c r="AJ21" s="43"/>
      <c r="AK21" s="46">
        <f t="shared" si="0"/>
        <v>0</v>
      </c>
      <c r="AL21" s="46">
        <f t="shared" si="1"/>
        <v>0</v>
      </c>
      <c r="AM21" s="150"/>
      <c r="AN21" s="151"/>
      <c r="AO21" s="151"/>
      <c r="AP21" s="152"/>
    </row>
    <row r="22" spans="1:42" ht="14.1" customHeight="1">
      <c r="A22" s="42">
        <v>9</v>
      </c>
      <c r="B22" s="52"/>
      <c r="C22" s="28"/>
      <c r="D22" s="23"/>
      <c r="E22" s="28"/>
      <c r="F22" s="43"/>
      <c r="G22" s="43"/>
      <c r="H22" s="43"/>
      <c r="I22" s="43"/>
      <c r="J22" s="43"/>
      <c r="K22" s="23"/>
      <c r="L22" s="43"/>
      <c r="M22" s="43"/>
      <c r="N22" s="43"/>
      <c r="O22" s="43"/>
      <c r="P22" s="98"/>
      <c r="Q22" s="43"/>
      <c r="R22" s="23"/>
      <c r="S22" s="43"/>
      <c r="T22" s="43"/>
      <c r="U22" s="43"/>
      <c r="V22" s="43"/>
      <c r="W22" s="43"/>
      <c r="X22" s="43"/>
      <c r="Y22" s="22"/>
      <c r="Z22" s="43"/>
      <c r="AA22" s="43"/>
      <c r="AB22" s="43"/>
      <c r="AC22" s="43"/>
      <c r="AD22" s="43"/>
      <c r="AE22" s="43"/>
      <c r="AF22" s="23"/>
      <c r="AG22" s="98"/>
      <c r="AH22" s="43"/>
      <c r="AI22" s="43"/>
      <c r="AJ22" s="43"/>
      <c r="AK22" s="46">
        <f t="shared" si="0"/>
        <v>0</v>
      </c>
      <c r="AL22" s="46">
        <f t="shared" si="1"/>
        <v>0</v>
      </c>
      <c r="AM22" s="150"/>
      <c r="AN22" s="151"/>
      <c r="AO22" s="151"/>
      <c r="AP22" s="152"/>
    </row>
    <row r="23" spans="1:42" ht="14.1" customHeight="1">
      <c r="A23" s="42">
        <v>10</v>
      </c>
      <c r="B23" s="53"/>
      <c r="C23" s="28"/>
      <c r="D23" s="23"/>
      <c r="E23" s="28"/>
      <c r="F23" s="43"/>
      <c r="G23" s="43"/>
      <c r="H23" s="43"/>
      <c r="I23" s="43"/>
      <c r="J23" s="43"/>
      <c r="K23" s="23"/>
      <c r="L23" s="43"/>
      <c r="M23" s="43"/>
      <c r="N23" s="43"/>
      <c r="O23" s="43"/>
      <c r="P23" s="98"/>
      <c r="Q23" s="43"/>
      <c r="R23" s="23"/>
      <c r="S23" s="43"/>
      <c r="T23" s="43"/>
      <c r="U23" s="43"/>
      <c r="V23" s="43"/>
      <c r="W23" s="43"/>
      <c r="X23" s="43"/>
      <c r="Y23" s="22"/>
      <c r="Z23" s="43"/>
      <c r="AA23" s="43"/>
      <c r="AB23" s="43"/>
      <c r="AC23" s="43"/>
      <c r="AD23" s="43"/>
      <c r="AE23" s="43"/>
      <c r="AF23" s="23"/>
      <c r="AG23" s="98"/>
      <c r="AH23" s="43"/>
      <c r="AI23" s="43"/>
      <c r="AJ23" s="43"/>
      <c r="AK23" s="46">
        <f t="shared" si="0"/>
        <v>0</v>
      </c>
      <c r="AL23" s="46">
        <f t="shared" si="1"/>
        <v>0</v>
      </c>
      <c r="AM23" s="150"/>
      <c r="AN23" s="151"/>
      <c r="AO23" s="151"/>
      <c r="AP23" s="152"/>
    </row>
    <row r="24" spans="1:42" ht="14.1" customHeight="1">
      <c r="A24" s="42">
        <v>11</v>
      </c>
      <c r="B24" s="53"/>
      <c r="C24" s="28"/>
      <c r="D24" s="23"/>
      <c r="E24" s="28"/>
      <c r="F24" s="43"/>
      <c r="G24" s="43"/>
      <c r="H24" s="43"/>
      <c r="I24" s="43"/>
      <c r="J24" s="43"/>
      <c r="K24" s="23"/>
      <c r="L24" s="43"/>
      <c r="M24" s="43"/>
      <c r="N24" s="43"/>
      <c r="O24" s="43"/>
      <c r="P24" s="98"/>
      <c r="Q24" s="43"/>
      <c r="R24" s="23"/>
      <c r="S24" s="43"/>
      <c r="T24" s="43"/>
      <c r="U24" s="43"/>
      <c r="V24" s="43"/>
      <c r="W24" s="43"/>
      <c r="X24" s="43"/>
      <c r="Y24" s="22"/>
      <c r="Z24" s="43"/>
      <c r="AA24" s="43"/>
      <c r="AB24" s="43"/>
      <c r="AC24" s="43"/>
      <c r="AD24" s="43"/>
      <c r="AE24" s="43"/>
      <c r="AF24" s="23"/>
      <c r="AG24" s="98"/>
      <c r="AH24" s="43"/>
      <c r="AI24" s="43"/>
      <c r="AJ24" s="43"/>
      <c r="AK24" s="46">
        <f t="shared" si="0"/>
        <v>0</v>
      </c>
      <c r="AL24" s="46">
        <f t="shared" si="1"/>
        <v>0</v>
      </c>
      <c r="AM24" s="150"/>
      <c r="AN24" s="151"/>
      <c r="AO24" s="151"/>
      <c r="AP24" s="152"/>
    </row>
    <row r="25" spans="1:42" ht="14.1" customHeight="1">
      <c r="A25" s="42">
        <v>12</v>
      </c>
      <c r="B25" s="52"/>
      <c r="C25" s="28"/>
      <c r="D25" s="23"/>
      <c r="E25" s="28"/>
      <c r="F25" s="43"/>
      <c r="G25" s="43"/>
      <c r="H25" s="43"/>
      <c r="I25" s="43"/>
      <c r="J25" s="43"/>
      <c r="K25" s="23"/>
      <c r="L25" s="43"/>
      <c r="M25" s="43"/>
      <c r="N25" s="43"/>
      <c r="O25" s="43"/>
      <c r="P25" s="98"/>
      <c r="Q25" s="43"/>
      <c r="R25" s="23"/>
      <c r="S25" s="43"/>
      <c r="T25" s="43"/>
      <c r="U25" s="43"/>
      <c r="V25" s="43"/>
      <c r="W25" s="43"/>
      <c r="X25" s="43"/>
      <c r="Y25" s="22"/>
      <c r="Z25" s="43"/>
      <c r="AA25" s="43"/>
      <c r="AB25" s="43"/>
      <c r="AC25" s="43"/>
      <c r="AD25" s="43"/>
      <c r="AE25" s="43"/>
      <c r="AF25" s="23"/>
      <c r="AG25" s="98"/>
      <c r="AH25" s="43"/>
      <c r="AI25" s="43"/>
      <c r="AJ25" s="43"/>
      <c r="AK25" s="46">
        <f t="shared" si="0"/>
        <v>0</v>
      </c>
      <c r="AL25" s="46">
        <f t="shared" si="1"/>
        <v>0</v>
      </c>
      <c r="AM25" s="150"/>
      <c r="AN25" s="151"/>
      <c r="AO25" s="151"/>
      <c r="AP25" s="152"/>
    </row>
    <row r="26" spans="1:42" ht="14.1" customHeight="1">
      <c r="A26" s="42">
        <v>13</v>
      </c>
      <c r="B26" s="54"/>
      <c r="C26" s="28"/>
      <c r="D26" s="23"/>
      <c r="E26" s="28"/>
      <c r="F26" s="43"/>
      <c r="G26" s="43"/>
      <c r="H26" s="43"/>
      <c r="I26" s="43"/>
      <c r="J26" s="43"/>
      <c r="K26" s="23"/>
      <c r="L26" s="43"/>
      <c r="M26" s="43"/>
      <c r="N26" s="43"/>
      <c r="O26" s="43"/>
      <c r="P26" s="98"/>
      <c r="Q26" s="43"/>
      <c r="R26" s="23"/>
      <c r="S26" s="43"/>
      <c r="T26" s="43"/>
      <c r="U26" s="43"/>
      <c r="V26" s="43"/>
      <c r="W26" s="43"/>
      <c r="X26" s="43"/>
      <c r="Y26" s="22"/>
      <c r="Z26" s="43"/>
      <c r="AA26" s="43"/>
      <c r="AB26" s="43"/>
      <c r="AC26" s="43"/>
      <c r="AD26" s="43"/>
      <c r="AE26" s="43"/>
      <c r="AF26" s="23"/>
      <c r="AG26" s="98"/>
      <c r="AH26" s="43"/>
      <c r="AI26" s="43"/>
      <c r="AJ26" s="43"/>
      <c r="AK26" s="46">
        <f t="shared" si="0"/>
        <v>0</v>
      </c>
      <c r="AL26" s="46">
        <f t="shared" si="1"/>
        <v>0</v>
      </c>
      <c r="AM26" s="39"/>
      <c r="AN26" s="40"/>
      <c r="AO26" s="40"/>
      <c r="AP26" s="41"/>
    </row>
    <row r="27" spans="1:42" ht="14.1" customHeight="1" thickBot="1">
      <c r="A27" s="50">
        <v>14</v>
      </c>
      <c r="B27" s="55"/>
      <c r="C27" s="28"/>
      <c r="D27" s="23"/>
      <c r="E27" s="28"/>
      <c r="F27" s="43"/>
      <c r="G27" s="43"/>
      <c r="H27" s="43"/>
      <c r="I27" s="43"/>
      <c r="J27" s="43"/>
      <c r="K27" s="23"/>
      <c r="L27" s="43"/>
      <c r="M27" s="43"/>
      <c r="N27" s="43"/>
      <c r="O27" s="43"/>
      <c r="P27" s="98"/>
      <c r="Q27" s="43"/>
      <c r="R27" s="23"/>
      <c r="S27" s="43"/>
      <c r="T27" s="43"/>
      <c r="U27" s="43"/>
      <c r="V27" s="43"/>
      <c r="W27" s="43"/>
      <c r="X27" s="43"/>
      <c r="Y27" s="22"/>
      <c r="Z27" s="43"/>
      <c r="AA27" s="43"/>
      <c r="AB27" s="43"/>
      <c r="AC27" s="43"/>
      <c r="AD27" s="43"/>
      <c r="AE27" s="43"/>
      <c r="AF27" s="23"/>
      <c r="AG27" s="98"/>
      <c r="AH27" s="43"/>
      <c r="AI27" s="43"/>
      <c r="AJ27" s="43"/>
      <c r="AK27" s="46">
        <f t="shared" si="0"/>
        <v>0</v>
      </c>
      <c r="AL27" s="46">
        <f t="shared" si="1"/>
        <v>0</v>
      </c>
      <c r="AM27" s="150"/>
      <c r="AN27" s="151"/>
      <c r="AO27" s="151"/>
      <c r="AP27" s="152"/>
    </row>
    <row r="28" spans="1:42" ht="15.75" thickBot="1">
      <c r="A28" s="156" t="s">
        <v>34</v>
      </c>
      <c r="B28" s="157"/>
      <c r="C28" s="48">
        <f t="shared" ref="C28" si="2">ROWS(C14:C27) - COUNTIF(C14:C27,"X")</f>
        <v>13</v>
      </c>
      <c r="D28" s="45"/>
      <c r="E28" s="48">
        <f t="shared" ref="E28:J28" si="3">ROWS(E14:E27) - COUNTIF(E14:E27,"X")</f>
        <v>13</v>
      </c>
      <c r="F28" s="48">
        <f t="shared" si="3"/>
        <v>14</v>
      </c>
      <c r="G28" s="48">
        <f t="shared" si="3"/>
        <v>14</v>
      </c>
      <c r="H28" s="48">
        <f t="shared" si="3"/>
        <v>14</v>
      </c>
      <c r="I28" s="48">
        <f t="shared" si="3"/>
        <v>14</v>
      </c>
      <c r="J28" s="48">
        <f t="shared" si="3"/>
        <v>14</v>
      </c>
      <c r="K28" s="45"/>
      <c r="L28" s="48">
        <f t="shared" ref="L28:Q28" si="4">ROWS(L14:L27) - COUNTIF(L14:L27,"X")</f>
        <v>14</v>
      </c>
      <c r="M28" s="48">
        <f t="shared" si="4"/>
        <v>14</v>
      </c>
      <c r="N28" s="48">
        <f t="shared" si="4"/>
        <v>14</v>
      </c>
      <c r="O28" s="48">
        <f t="shared" si="4"/>
        <v>14</v>
      </c>
      <c r="P28" s="98"/>
      <c r="Q28" s="48">
        <f t="shared" si="4"/>
        <v>14</v>
      </c>
      <c r="R28" s="45"/>
      <c r="S28" s="48">
        <f t="shared" ref="S28:X28" si="5">ROWS(S14:S27) - COUNTIF(S14:S27,"X")</f>
        <v>14</v>
      </c>
      <c r="T28" s="48">
        <f t="shared" si="5"/>
        <v>14</v>
      </c>
      <c r="U28" s="48">
        <f t="shared" si="5"/>
        <v>14</v>
      </c>
      <c r="V28" s="48">
        <f t="shared" si="5"/>
        <v>14</v>
      </c>
      <c r="W28" s="48">
        <f t="shared" si="5"/>
        <v>14</v>
      </c>
      <c r="X28" s="48">
        <f t="shared" si="5"/>
        <v>14</v>
      </c>
      <c r="Y28" s="45"/>
      <c r="Z28" s="48">
        <f t="shared" ref="Z28:AE28" si="6">ROWS(Z14:Z27) - COUNTIF(Z14:Z27,"X")</f>
        <v>14</v>
      </c>
      <c r="AA28" s="48">
        <f t="shared" si="6"/>
        <v>14</v>
      </c>
      <c r="AB28" s="48">
        <f t="shared" si="6"/>
        <v>14</v>
      </c>
      <c r="AC28" s="48">
        <f t="shared" si="6"/>
        <v>14</v>
      </c>
      <c r="AD28" s="48">
        <f t="shared" si="6"/>
        <v>14</v>
      </c>
      <c r="AE28" s="48">
        <f t="shared" si="6"/>
        <v>14</v>
      </c>
      <c r="AF28" s="45"/>
      <c r="AG28" s="98"/>
      <c r="AH28" s="48"/>
      <c r="AI28" s="48"/>
      <c r="AJ28" s="48"/>
      <c r="AK28" s="47">
        <f>SUM(AK14:AK27)</f>
        <v>2</v>
      </c>
      <c r="AL28" s="47">
        <f>SUM(AL14:AL27)</f>
        <v>0</v>
      </c>
      <c r="AM28" s="141">
        <f>SUM(C28:AJ28)</f>
        <v>334</v>
      </c>
      <c r="AN28" s="141"/>
      <c r="AO28" s="141"/>
      <c r="AP28" s="142"/>
    </row>
    <row r="29" spans="1:42" ht="14.1" customHeight="1">
      <c r="A29" s="49">
        <v>1</v>
      </c>
      <c r="B29" s="51"/>
      <c r="C29" s="27"/>
      <c r="D29" s="22"/>
      <c r="E29" s="27"/>
      <c r="F29" s="43"/>
      <c r="G29" s="43"/>
      <c r="H29" s="43"/>
      <c r="I29" s="43"/>
      <c r="J29" s="43"/>
      <c r="K29" s="22"/>
      <c r="L29" s="43"/>
      <c r="M29" s="43"/>
      <c r="N29" s="43"/>
      <c r="O29" s="43"/>
      <c r="P29" s="98"/>
      <c r="Q29" s="43"/>
      <c r="R29" s="22"/>
      <c r="S29" s="43"/>
      <c r="T29" s="43"/>
      <c r="U29" s="43"/>
      <c r="V29" s="43"/>
      <c r="W29" s="43"/>
      <c r="X29" s="43"/>
      <c r="Y29" s="22"/>
      <c r="Z29" s="43"/>
      <c r="AA29" s="43"/>
      <c r="AB29" s="43"/>
      <c r="AC29" s="43"/>
      <c r="AD29" s="43"/>
      <c r="AE29" s="43"/>
      <c r="AF29" s="22"/>
      <c r="AG29" s="98"/>
      <c r="AH29" s="43"/>
      <c r="AI29" s="43"/>
      <c r="AJ29" s="43"/>
      <c r="AK29" s="46">
        <f t="shared" ref="AK29:AK64" si="7">COUNTIF(C29:AJ29,"X")</f>
        <v>0</v>
      </c>
      <c r="AL29" s="46">
        <f t="shared" ref="AL29:AL64" si="8">COUNTIF(C29:AJ29,"T")</f>
        <v>0</v>
      </c>
      <c r="AM29" s="153"/>
      <c r="AN29" s="154"/>
      <c r="AO29" s="154"/>
      <c r="AP29" s="155"/>
    </row>
    <row r="30" spans="1:42" ht="14.1" customHeight="1">
      <c r="A30" s="42">
        <v>2</v>
      </c>
      <c r="B30" s="52"/>
      <c r="C30" s="28"/>
      <c r="D30" s="22"/>
      <c r="E30" s="28"/>
      <c r="F30" s="43"/>
      <c r="G30" s="43"/>
      <c r="H30" s="43"/>
      <c r="I30" s="43"/>
      <c r="J30" s="43"/>
      <c r="K30" s="22"/>
      <c r="L30" s="43"/>
      <c r="M30" s="43"/>
      <c r="N30" s="43"/>
      <c r="O30" s="43"/>
      <c r="P30" s="98"/>
      <c r="Q30" s="43"/>
      <c r="R30" s="22"/>
      <c r="S30" s="43"/>
      <c r="T30" s="43"/>
      <c r="U30" s="43"/>
      <c r="V30" s="43"/>
      <c r="W30" s="43"/>
      <c r="X30" s="43"/>
      <c r="Y30" s="22"/>
      <c r="Z30" s="43"/>
      <c r="AA30" s="43"/>
      <c r="AB30" s="43"/>
      <c r="AC30" s="43"/>
      <c r="AD30" s="43"/>
      <c r="AE30" s="43"/>
      <c r="AF30" s="22"/>
      <c r="AG30" s="98"/>
      <c r="AH30" s="43"/>
      <c r="AI30" s="43"/>
      <c r="AJ30" s="43"/>
      <c r="AK30" s="46">
        <f t="shared" si="7"/>
        <v>0</v>
      </c>
      <c r="AL30" s="46">
        <f t="shared" si="8"/>
        <v>0</v>
      </c>
      <c r="AM30" s="150"/>
      <c r="AN30" s="151"/>
      <c r="AO30" s="151"/>
      <c r="AP30" s="152"/>
    </row>
    <row r="31" spans="1:42" ht="14.1" customHeight="1">
      <c r="A31" s="42">
        <v>3</v>
      </c>
      <c r="B31" s="52"/>
      <c r="C31" s="28"/>
      <c r="D31" s="22"/>
      <c r="E31" s="28"/>
      <c r="F31" s="43"/>
      <c r="G31" s="43"/>
      <c r="H31" s="43"/>
      <c r="I31" s="43"/>
      <c r="J31" s="43"/>
      <c r="K31" s="22"/>
      <c r="L31" s="43"/>
      <c r="M31" s="43"/>
      <c r="N31" s="43"/>
      <c r="O31" s="43"/>
      <c r="P31" s="98"/>
      <c r="Q31" s="43"/>
      <c r="R31" s="22"/>
      <c r="S31" s="43"/>
      <c r="T31" s="43"/>
      <c r="U31" s="43"/>
      <c r="V31" s="43"/>
      <c r="W31" s="43"/>
      <c r="X31" s="43"/>
      <c r="Y31" s="22"/>
      <c r="Z31" s="43"/>
      <c r="AA31" s="43"/>
      <c r="AB31" s="43"/>
      <c r="AC31" s="43"/>
      <c r="AD31" s="43"/>
      <c r="AE31" s="43"/>
      <c r="AF31" s="22"/>
      <c r="AG31" s="98"/>
      <c r="AH31" s="43"/>
      <c r="AI31" s="43"/>
      <c r="AJ31" s="43"/>
      <c r="AK31" s="46">
        <f t="shared" si="7"/>
        <v>0</v>
      </c>
      <c r="AL31" s="46">
        <f t="shared" si="8"/>
        <v>0</v>
      </c>
      <c r="AM31" s="150"/>
      <c r="AN31" s="151"/>
      <c r="AO31" s="151"/>
      <c r="AP31" s="152"/>
    </row>
    <row r="32" spans="1:42" ht="14.1" customHeight="1">
      <c r="A32" s="42">
        <v>4</v>
      </c>
      <c r="B32" s="52"/>
      <c r="C32" s="28"/>
      <c r="D32" s="22"/>
      <c r="E32" s="28"/>
      <c r="F32" s="43"/>
      <c r="G32" s="43"/>
      <c r="H32" s="43"/>
      <c r="I32" s="43"/>
      <c r="J32" s="43"/>
      <c r="K32" s="22"/>
      <c r="L32" s="43"/>
      <c r="M32" s="43"/>
      <c r="N32" s="43"/>
      <c r="O32" s="43"/>
      <c r="P32" s="98"/>
      <c r="Q32" s="43"/>
      <c r="R32" s="22"/>
      <c r="S32" s="43"/>
      <c r="T32" s="43"/>
      <c r="U32" s="43"/>
      <c r="V32" s="43"/>
      <c r="W32" s="43"/>
      <c r="X32" s="43"/>
      <c r="Y32" s="22"/>
      <c r="Z32" s="43"/>
      <c r="AA32" s="43"/>
      <c r="AB32" s="43"/>
      <c r="AC32" s="43"/>
      <c r="AD32" s="43"/>
      <c r="AE32" s="43"/>
      <c r="AF32" s="22"/>
      <c r="AG32" s="98"/>
      <c r="AH32" s="43"/>
      <c r="AI32" s="43"/>
      <c r="AJ32" s="43"/>
      <c r="AK32" s="46">
        <f t="shared" si="7"/>
        <v>0</v>
      </c>
      <c r="AL32" s="46">
        <f t="shared" si="8"/>
        <v>0</v>
      </c>
      <c r="AM32" s="150"/>
      <c r="AN32" s="151"/>
      <c r="AO32" s="151"/>
      <c r="AP32" s="152"/>
    </row>
    <row r="33" spans="1:42" ht="14.1" customHeight="1">
      <c r="A33" s="42">
        <v>5</v>
      </c>
      <c r="B33" s="52"/>
      <c r="C33" s="28"/>
      <c r="D33" s="22"/>
      <c r="E33" s="28"/>
      <c r="F33" s="43"/>
      <c r="G33" s="43"/>
      <c r="H33" s="43"/>
      <c r="I33" s="43"/>
      <c r="J33" s="43"/>
      <c r="K33" s="22"/>
      <c r="L33" s="43"/>
      <c r="M33" s="43"/>
      <c r="N33" s="43"/>
      <c r="O33" s="43"/>
      <c r="P33" s="98"/>
      <c r="Q33" s="43"/>
      <c r="R33" s="22"/>
      <c r="S33" s="43"/>
      <c r="T33" s="43"/>
      <c r="U33" s="43"/>
      <c r="V33" s="43"/>
      <c r="W33" s="43"/>
      <c r="X33" s="43"/>
      <c r="Y33" s="22"/>
      <c r="Z33" s="43"/>
      <c r="AA33" s="43"/>
      <c r="AB33" s="43"/>
      <c r="AC33" s="43"/>
      <c r="AD33" s="43"/>
      <c r="AE33" s="43"/>
      <c r="AF33" s="22"/>
      <c r="AG33" s="98"/>
      <c r="AH33" s="43"/>
      <c r="AI33" s="43"/>
      <c r="AJ33" s="43"/>
      <c r="AK33" s="46">
        <f t="shared" si="7"/>
        <v>0</v>
      </c>
      <c r="AL33" s="46">
        <f t="shared" si="8"/>
        <v>0</v>
      </c>
      <c r="AM33" s="150"/>
      <c r="AN33" s="151"/>
      <c r="AO33" s="151"/>
      <c r="AP33" s="152"/>
    </row>
    <row r="34" spans="1:42" ht="14.1" customHeight="1">
      <c r="A34" s="42">
        <v>6</v>
      </c>
      <c r="B34" s="52"/>
      <c r="C34" s="28"/>
      <c r="D34" s="22"/>
      <c r="E34" s="28"/>
      <c r="F34" s="43"/>
      <c r="G34" s="43"/>
      <c r="H34" s="43"/>
      <c r="I34" s="43"/>
      <c r="J34" s="43"/>
      <c r="K34" s="22"/>
      <c r="L34" s="43"/>
      <c r="M34" s="43"/>
      <c r="N34" s="43"/>
      <c r="O34" s="43"/>
      <c r="P34" s="98"/>
      <c r="Q34" s="43"/>
      <c r="R34" s="22"/>
      <c r="S34" s="43"/>
      <c r="T34" s="43"/>
      <c r="U34" s="43"/>
      <c r="V34" s="43"/>
      <c r="W34" s="43"/>
      <c r="X34" s="43"/>
      <c r="Y34" s="22"/>
      <c r="Z34" s="43"/>
      <c r="AA34" s="43"/>
      <c r="AB34" s="43"/>
      <c r="AC34" s="43"/>
      <c r="AD34" s="43"/>
      <c r="AE34" s="43"/>
      <c r="AF34" s="22"/>
      <c r="AG34" s="98"/>
      <c r="AH34" s="43"/>
      <c r="AI34" s="43"/>
      <c r="AJ34" s="43"/>
      <c r="AK34" s="46">
        <f t="shared" si="7"/>
        <v>0</v>
      </c>
      <c r="AL34" s="46">
        <f t="shared" si="8"/>
        <v>0</v>
      </c>
      <c r="AM34" s="150"/>
      <c r="AN34" s="151"/>
      <c r="AO34" s="151"/>
      <c r="AP34" s="152"/>
    </row>
    <row r="35" spans="1:42" ht="14.1" customHeight="1">
      <c r="A35" s="42">
        <v>7</v>
      </c>
      <c r="B35" s="52"/>
      <c r="C35" s="28"/>
      <c r="D35" s="22"/>
      <c r="E35" s="28"/>
      <c r="F35" s="43"/>
      <c r="G35" s="43"/>
      <c r="H35" s="43"/>
      <c r="I35" s="43"/>
      <c r="J35" s="43"/>
      <c r="K35" s="22"/>
      <c r="L35" s="43"/>
      <c r="M35" s="43"/>
      <c r="N35" s="43"/>
      <c r="O35" s="43"/>
      <c r="P35" s="98"/>
      <c r="Q35" s="43"/>
      <c r="R35" s="22"/>
      <c r="S35" s="43"/>
      <c r="T35" s="43"/>
      <c r="U35" s="43"/>
      <c r="V35" s="43"/>
      <c r="W35" s="43"/>
      <c r="X35" s="43"/>
      <c r="Y35" s="22"/>
      <c r="Z35" s="43"/>
      <c r="AA35" s="43"/>
      <c r="AB35" s="43"/>
      <c r="AC35" s="43"/>
      <c r="AD35" s="43"/>
      <c r="AE35" s="43"/>
      <c r="AF35" s="22"/>
      <c r="AG35" s="98"/>
      <c r="AH35" s="43"/>
      <c r="AI35" s="43"/>
      <c r="AJ35" s="43"/>
      <c r="AK35" s="46">
        <f t="shared" si="7"/>
        <v>0</v>
      </c>
      <c r="AL35" s="46">
        <f t="shared" si="8"/>
        <v>0</v>
      </c>
      <c r="AM35" s="150"/>
      <c r="AN35" s="151"/>
      <c r="AO35" s="151"/>
      <c r="AP35" s="152"/>
    </row>
    <row r="36" spans="1:42" ht="14.1" customHeight="1">
      <c r="A36" s="42">
        <v>8</v>
      </c>
      <c r="B36" s="52"/>
      <c r="C36" s="28"/>
      <c r="D36" s="22"/>
      <c r="E36" s="28"/>
      <c r="F36" s="43"/>
      <c r="G36" s="43"/>
      <c r="H36" s="43"/>
      <c r="I36" s="43"/>
      <c r="J36" s="43"/>
      <c r="K36" s="22"/>
      <c r="L36" s="43"/>
      <c r="M36" s="43"/>
      <c r="N36" s="43"/>
      <c r="O36" s="43"/>
      <c r="P36" s="98"/>
      <c r="Q36" s="43"/>
      <c r="R36" s="22"/>
      <c r="S36" s="43"/>
      <c r="T36" s="43"/>
      <c r="U36" s="43"/>
      <c r="V36" s="43"/>
      <c r="W36" s="43"/>
      <c r="X36" s="43"/>
      <c r="Y36" s="22"/>
      <c r="Z36" s="43"/>
      <c r="AA36" s="43"/>
      <c r="AB36" s="43"/>
      <c r="AC36" s="43"/>
      <c r="AD36" s="43"/>
      <c r="AE36" s="43"/>
      <c r="AF36" s="22"/>
      <c r="AG36" s="98"/>
      <c r="AH36" s="43"/>
      <c r="AI36" s="43"/>
      <c r="AJ36" s="43"/>
      <c r="AK36" s="46">
        <f t="shared" si="7"/>
        <v>0</v>
      </c>
      <c r="AL36" s="46">
        <f t="shared" si="8"/>
        <v>0</v>
      </c>
      <c r="AM36" s="150"/>
      <c r="AN36" s="151"/>
      <c r="AO36" s="151"/>
      <c r="AP36" s="152"/>
    </row>
    <row r="37" spans="1:42" ht="14.1" customHeight="1">
      <c r="A37" s="42">
        <v>9</v>
      </c>
      <c r="B37" s="52"/>
      <c r="C37" s="28"/>
      <c r="D37" s="22"/>
      <c r="E37" s="28"/>
      <c r="F37" s="43"/>
      <c r="G37" s="43"/>
      <c r="H37" s="43"/>
      <c r="I37" s="43"/>
      <c r="J37" s="43"/>
      <c r="K37" s="22"/>
      <c r="L37" s="43"/>
      <c r="M37" s="43"/>
      <c r="N37" s="43"/>
      <c r="O37" s="43"/>
      <c r="P37" s="98"/>
      <c r="Q37" s="43"/>
      <c r="R37" s="22"/>
      <c r="S37" s="43"/>
      <c r="T37" s="43"/>
      <c r="U37" s="43"/>
      <c r="V37" s="43"/>
      <c r="W37" s="43"/>
      <c r="X37" s="43"/>
      <c r="Y37" s="22"/>
      <c r="Z37" s="43"/>
      <c r="AA37" s="43"/>
      <c r="AB37" s="43"/>
      <c r="AC37" s="43"/>
      <c r="AD37" s="43"/>
      <c r="AE37" s="43"/>
      <c r="AF37" s="22"/>
      <c r="AG37" s="98"/>
      <c r="AH37" s="43"/>
      <c r="AI37" s="43"/>
      <c r="AJ37" s="43"/>
      <c r="AK37" s="46">
        <f t="shared" si="7"/>
        <v>0</v>
      </c>
      <c r="AL37" s="46">
        <f t="shared" si="8"/>
        <v>0</v>
      </c>
      <c r="AM37" s="150"/>
      <c r="AN37" s="151"/>
      <c r="AO37" s="151"/>
      <c r="AP37" s="152"/>
    </row>
    <row r="38" spans="1:42" ht="14.1" customHeight="1">
      <c r="A38" s="42">
        <v>10</v>
      </c>
      <c r="B38" s="52"/>
      <c r="C38" s="28"/>
      <c r="D38" s="22"/>
      <c r="E38" s="28"/>
      <c r="F38" s="43"/>
      <c r="G38" s="43"/>
      <c r="H38" s="43"/>
      <c r="I38" s="43"/>
      <c r="J38" s="43"/>
      <c r="K38" s="22"/>
      <c r="L38" s="43"/>
      <c r="M38" s="43"/>
      <c r="N38" s="43"/>
      <c r="O38" s="43"/>
      <c r="P38" s="98"/>
      <c r="Q38" s="43"/>
      <c r="R38" s="22"/>
      <c r="S38" s="43"/>
      <c r="T38" s="43"/>
      <c r="U38" s="43"/>
      <c r="V38" s="43"/>
      <c r="W38" s="43"/>
      <c r="X38" s="43"/>
      <c r="Y38" s="22"/>
      <c r="Z38" s="43"/>
      <c r="AA38" s="43"/>
      <c r="AB38" s="43"/>
      <c r="AC38" s="43"/>
      <c r="AD38" s="43"/>
      <c r="AE38" s="43"/>
      <c r="AF38" s="22"/>
      <c r="AG38" s="98"/>
      <c r="AH38" s="43"/>
      <c r="AI38" s="43"/>
      <c r="AJ38" s="43"/>
      <c r="AK38" s="46">
        <f t="shared" si="7"/>
        <v>0</v>
      </c>
      <c r="AL38" s="46">
        <f t="shared" si="8"/>
        <v>0</v>
      </c>
      <c r="AM38" s="150"/>
      <c r="AN38" s="151"/>
      <c r="AO38" s="151"/>
      <c r="AP38" s="152"/>
    </row>
    <row r="39" spans="1:42" ht="14.1" customHeight="1">
      <c r="A39" s="42">
        <v>11</v>
      </c>
      <c r="B39" s="52"/>
      <c r="C39" s="28"/>
      <c r="D39" s="22"/>
      <c r="E39" s="28"/>
      <c r="F39" s="43"/>
      <c r="G39" s="43"/>
      <c r="H39" s="43"/>
      <c r="I39" s="43"/>
      <c r="J39" s="43"/>
      <c r="K39" s="22"/>
      <c r="L39" s="43"/>
      <c r="M39" s="43"/>
      <c r="N39" s="43"/>
      <c r="O39" s="43"/>
      <c r="P39" s="98"/>
      <c r="Q39" s="43"/>
      <c r="R39" s="22"/>
      <c r="S39" s="43"/>
      <c r="T39" s="43"/>
      <c r="U39" s="43"/>
      <c r="V39" s="43"/>
      <c r="W39" s="43"/>
      <c r="X39" s="43"/>
      <c r="Y39" s="22"/>
      <c r="Z39" s="43"/>
      <c r="AA39" s="43"/>
      <c r="AB39" s="43"/>
      <c r="AC39" s="43"/>
      <c r="AD39" s="43"/>
      <c r="AE39" s="43"/>
      <c r="AF39" s="22"/>
      <c r="AG39" s="98"/>
      <c r="AH39" s="43"/>
      <c r="AI39" s="43"/>
      <c r="AJ39" s="43"/>
      <c r="AK39" s="46">
        <f t="shared" si="7"/>
        <v>0</v>
      </c>
      <c r="AL39" s="46">
        <f t="shared" si="8"/>
        <v>0</v>
      </c>
      <c r="AM39" s="150"/>
      <c r="AN39" s="151"/>
      <c r="AO39" s="151"/>
      <c r="AP39" s="152"/>
    </row>
    <row r="40" spans="1:42" ht="14.1" customHeight="1">
      <c r="A40" s="42">
        <v>12</v>
      </c>
      <c r="B40" s="52"/>
      <c r="C40" s="28"/>
      <c r="D40" s="22"/>
      <c r="E40" s="28"/>
      <c r="F40" s="43"/>
      <c r="G40" s="43"/>
      <c r="H40" s="43"/>
      <c r="I40" s="43"/>
      <c r="J40" s="43"/>
      <c r="K40" s="22"/>
      <c r="L40" s="43"/>
      <c r="M40" s="43"/>
      <c r="N40" s="43"/>
      <c r="O40" s="43"/>
      <c r="P40" s="98"/>
      <c r="Q40" s="43"/>
      <c r="R40" s="22"/>
      <c r="S40" s="43"/>
      <c r="T40" s="43"/>
      <c r="U40" s="43"/>
      <c r="V40" s="43"/>
      <c r="W40" s="43"/>
      <c r="X40" s="43"/>
      <c r="Y40" s="22"/>
      <c r="Z40" s="43"/>
      <c r="AA40" s="43"/>
      <c r="AB40" s="43"/>
      <c r="AC40" s="43"/>
      <c r="AD40" s="43"/>
      <c r="AE40" s="43"/>
      <c r="AF40" s="22"/>
      <c r="AG40" s="98"/>
      <c r="AH40" s="43"/>
      <c r="AI40" s="43"/>
      <c r="AJ40" s="43"/>
      <c r="AK40" s="46">
        <f t="shared" si="7"/>
        <v>0</v>
      </c>
      <c r="AL40" s="46">
        <f t="shared" si="8"/>
        <v>0</v>
      </c>
      <c r="AM40" s="150"/>
      <c r="AN40" s="151"/>
      <c r="AO40" s="151"/>
      <c r="AP40" s="152"/>
    </row>
    <row r="41" spans="1:42" ht="14.1" customHeight="1">
      <c r="A41" s="42">
        <v>13</v>
      </c>
      <c r="B41" s="52"/>
      <c r="C41" s="28"/>
      <c r="D41" s="22"/>
      <c r="E41" s="28"/>
      <c r="F41" s="43"/>
      <c r="G41" s="43"/>
      <c r="H41" s="43"/>
      <c r="I41" s="43"/>
      <c r="J41" s="43"/>
      <c r="K41" s="22"/>
      <c r="L41" s="43"/>
      <c r="M41" s="43"/>
      <c r="N41" s="43"/>
      <c r="O41" s="43"/>
      <c r="P41" s="98"/>
      <c r="Q41" s="43"/>
      <c r="R41" s="22"/>
      <c r="S41" s="43"/>
      <c r="T41" s="43"/>
      <c r="U41" s="43"/>
      <c r="V41" s="43"/>
      <c r="W41" s="43"/>
      <c r="X41" s="43"/>
      <c r="Y41" s="22"/>
      <c r="Z41" s="43"/>
      <c r="AA41" s="43"/>
      <c r="AB41" s="43"/>
      <c r="AC41" s="43"/>
      <c r="AD41" s="43"/>
      <c r="AE41" s="43"/>
      <c r="AF41" s="22"/>
      <c r="AG41" s="98"/>
      <c r="AH41" s="43"/>
      <c r="AI41" s="43"/>
      <c r="AJ41" s="43"/>
      <c r="AK41" s="46">
        <f t="shared" si="7"/>
        <v>0</v>
      </c>
      <c r="AL41" s="46">
        <f t="shared" si="8"/>
        <v>0</v>
      </c>
      <c r="AM41" s="150"/>
      <c r="AN41" s="151"/>
      <c r="AO41" s="151"/>
      <c r="AP41" s="152"/>
    </row>
    <row r="42" spans="1:42" ht="14.1" customHeight="1">
      <c r="A42" s="42">
        <v>14</v>
      </c>
      <c r="B42" s="52"/>
      <c r="C42" s="28"/>
      <c r="D42" s="22"/>
      <c r="E42" s="28"/>
      <c r="F42" s="43"/>
      <c r="G42" s="43"/>
      <c r="H42" s="43"/>
      <c r="I42" s="43"/>
      <c r="J42" s="43"/>
      <c r="K42" s="22"/>
      <c r="L42" s="43"/>
      <c r="M42" s="43"/>
      <c r="N42" s="43"/>
      <c r="O42" s="43"/>
      <c r="P42" s="98"/>
      <c r="Q42" s="43"/>
      <c r="R42" s="22"/>
      <c r="S42" s="43"/>
      <c r="T42" s="43"/>
      <c r="U42" s="43"/>
      <c r="V42" s="43"/>
      <c r="W42" s="43"/>
      <c r="X42" s="43"/>
      <c r="Y42" s="22"/>
      <c r="Z42" s="43"/>
      <c r="AA42" s="43"/>
      <c r="AB42" s="43"/>
      <c r="AC42" s="43"/>
      <c r="AD42" s="43"/>
      <c r="AE42" s="43"/>
      <c r="AF42" s="22"/>
      <c r="AG42" s="98"/>
      <c r="AH42" s="43"/>
      <c r="AI42" s="43"/>
      <c r="AJ42" s="43"/>
      <c r="AK42" s="46">
        <f t="shared" si="7"/>
        <v>0</v>
      </c>
      <c r="AL42" s="46">
        <f t="shared" si="8"/>
        <v>0</v>
      </c>
      <c r="AM42" s="150"/>
      <c r="AN42" s="151"/>
      <c r="AO42" s="151"/>
      <c r="AP42" s="152"/>
    </row>
    <row r="43" spans="1:42" ht="14.1" customHeight="1">
      <c r="A43" s="42">
        <v>15</v>
      </c>
      <c r="B43" s="52"/>
      <c r="C43" s="28"/>
      <c r="D43" s="22"/>
      <c r="E43" s="28"/>
      <c r="F43" s="43"/>
      <c r="G43" s="43"/>
      <c r="H43" s="43"/>
      <c r="I43" s="43"/>
      <c r="J43" s="43"/>
      <c r="K43" s="22"/>
      <c r="L43" s="43"/>
      <c r="M43" s="43"/>
      <c r="N43" s="43"/>
      <c r="O43" s="43"/>
      <c r="P43" s="98"/>
      <c r="Q43" s="43"/>
      <c r="R43" s="22"/>
      <c r="S43" s="43"/>
      <c r="T43" s="43"/>
      <c r="U43" s="43"/>
      <c r="V43" s="43"/>
      <c r="W43" s="43"/>
      <c r="X43" s="43"/>
      <c r="Y43" s="22"/>
      <c r="Z43" s="43"/>
      <c r="AA43" s="43"/>
      <c r="AB43" s="43"/>
      <c r="AC43" s="43"/>
      <c r="AD43" s="43"/>
      <c r="AE43" s="43"/>
      <c r="AF43" s="22"/>
      <c r="AG43" s="98"/>
      <c r="AH43" s="43"/>
      <c r="AI43" s="43"/>
      <c r="AJ43" s="43"/>
      <c r="AK43" s="46">
        <f t="shared" si="7"/>
        <v>0</v>
      </c>
      <c r="AL43" s="46">
        <f t="shared" si="8"/>
        <v>0</v>
      </c>
      <c r="AM43" s="150"/>
      <c r="AN43" s="151"/>
      <c r="AO43" s="151"/>
      <c r="AP43" s="152"/>
    </row>
    <row r="44" spans="1:42" ht="14.1" customHeight="1">
      <c r="A44" s="42">
        <v>16</v>
      </c>
      <c r="B44" s="52"/>
      <c r="C44" s="28"/>
      <c r="D44" s="22"/>
      <c r="E44" s="28"/>
      <c r="F44" s="43"/>
      <c r="G44" s="43"/>
      <c r="H44" s="43"/>
      <c r="I44" s="43"/>
      <c r="J44" s="43"/>
      <c r="K44" s="22"/>
      <c r="L44" s="43"/>
      <c r="M44" s="43"/>
      <c r="N44" s="43"/>
      <c r="O44" s="43"/>
      <c r="P44" s="98"/>
      <c r="Q44" s="43"/>
      <c r="R44" s="22"/>
      <c r="S44" s="43"/>
      <c r="T44" s="43"/>
      <c r="U44" s="43"/>
      <c r="V44" s="43"/>
      <c r="W44" s="43"/>
      <c r="X44" s="43"/>
      <c r="Y44" s="22"/>
      <c r="Z44" s="43"/>
      <c r="AA44" s="43"/>
      <c r="AB44" s="43"/>
      <c r="AC44" s="43"/>
      <c r="AD44" s="43"/>
      <c r="AE44" s="43"/>
      <c r="AF44" s="22"/>
      <c r="AG44" s="98"/>
      <c r="AH44" s="43"/>
      <c r="AI44" s="43"/>
      <c r="AJ44" s="43"/>
      <c r="AK44" s="46">
        <f t="shared" si="7"/>
        <v>0</v>
      </c>
      <c r="AL44" s="46">
        <f t="shared" si="8"/>
        <v>0</v>
      </c>
      <c r="AM44" s="150"/>
      <c r="AN44" s="151"/>
      <c r="AO44" s="151"/>
      <c r="AP44" s="152"/>
    </row>
    <row r="45" spans="1:42" ht="14.1" customHeight="1">
      <c r="A45" s="42">
        <v>17</v>
      </c>
      <c r="B45" s="52"/>
      <c r="C45" s="28"/>
      <c r="D45" s="22"/>
      <c r="E45" s="28"/>
      <c r="F45" s="43"/>
      <c r="G45" s="43"/>
      <c r="H45" s="43"/>
      <c r="I45" s="43"/>
      <c r="J45" s="43"/>
      <c r="K45" s="22"/>
      <c r="L45" s="43"/>
      <c r="M45" s="43"/>
      <c r="N45" s="43"/>
      <c r="O45" s="43"/>
      <c r="P45" s="98"/>
      <c r="Q45" s="43"/>
      <c r="R45" s="22"/>
      <c r="S45" s="43"/>
      <c r="T45" s="43"/>
      <c r="U45" s="43"/>
      <c r="V45" s="43"/>
      <c r="W45" s="43"/>
      <c r="X45" s="43"/>
      <c r="Y45" s="22"/>
      <c r="Z45" s="43"/>
      <c r="AA45" s="43"/>
      <c r="AB45" s="43"/>
      <c r="AC45" s="43"/>
      <c r="AD45" s="43"/>
      <c r="AE45" s="43"/>
      <c r="AF45" s="22"/>
      <c r="AG45" s="98"/>
      <c r="AH45" s="43"/>
      <c r="AI45" s="43"/>
      <c r="AJ45" s="43"/>
      <c r="AK45" s="46">
        <f t="shared" si="7"/>
        <v>0</v>
      </c>
      <c r="AL45" s="46">
        <f t="shared" si="8"/>
        <v>0</v>
      </c>
      <c r="AM45" s="150"/>
      <c r="AN45" s="151"/>
      <c r="AO45" s="151"/>
      <c r="AP45" s="152"/>
    </row>
    <row r="46" spans="1:42" ht="14.1" customHeight="1">
      <c r="A46" s="42">
        <v>18</v>
      </c>
      <c r="B46" s="52"/>
      <c r="C46" s="28"/>
      <c r="D46" s="22"/>
      <c r="E46" s="28"/>
      <c r="F46" s="43"/>
      <c r="G46" s="43"/>
      <c r="H46" s="43"/>
      <c r="I46" s="43"/>
      <c r="J46" s="43"/>
      <c r="K46" s="22"/>
      <c r="L46" s="43"/>
      <c r="M46" s="43"/>
      <c r="N46" s="43"/>
      <c r="O46" s="43"/>
      <c r="P46" s="98"/>
      <c r="Q46" s="43"/>
      <c r="R46" s="22"/>
      <c r="S46" s="43"/>
      <c r="T46" s="43"/>
      <c r="U46" s="43"/>
      <c r="V46" s="43"/>
      <c r="W46" s="43"/>
      <c r="X46" s="43"/>
      <c r="Y46" s="22"/>
      <c r="Z46" s="43"/>
      <c r="AA46" s="43"/>
      <c r="AB46" s="43"/>
      <c r="AC46" s="43"/>
      <c r="AD46" s="43"/>
      <c r="AE46" s="43"/>
      <c r="AF46" s="22"/>
      <c r="AG46" s="98"/>
      <c r="AH46" s="43"/>
      <c r="AI46" s="43"/>
      <c r="AJ46" s="43"/>
      <c r="AK46" s="46">
        <f t="shared" si="7"/>
        <v>0</v>
      </c>
      <c r="AL46" s="46">
        <f t="shared" si="8"/>
        <v>0</v>
      </c>
      <c r="AM46" s="150"/>
      <c r="AN46" s="151"/>
      <c r="AO46" s="151"/>
      <c r="AP46" s="152"/>
    </row>
    <row r="47" spans="1:42" ht="14.1" customHeight="1">
      <c r="A47" s="42">
        <v>19</v>
      </c>
      <c r="B47" s="56"/>
      <c r="C47" s="28"/>
      <c r="D47" s="22"/>
      <c r="E47" s="28"/>
      <c r="F47" s="43"/>
      <c r="G47" s="43"/>
      <c r="H47" s="43"/>
      <c r="I47" s="43"/>
      <c r="J47" s="43"/>
      <c r="K47" s="22"/>
      <c r="L47" s="43"/>
      <c r="M47" s="43"/>
      <c r="N47" s="43"/>
      <c r="O47" s="43"/>
      <c r="P47" s="98"/>
      <c r="Q47" s="43"/>
      <c r="R47" s="22"/>
      <c r="S47" s="43"/>
      <c r="T47" s="43"/>
      <c r="U47" s="43"/>
      <c r="V47" s="43"/>
      <c r="W47" s="43"/>
      <c r="X47" s="43"/>
      <c r="Y47" s="22"/>
      <c r="Z47" s="43"/>
      <c r="AA47" s="43"/>
      <c r="AB47" s="43"/>
      <c r="AC47" s="43"/>
      <c r="AD47" s="43"/>
      <c r="AE47" s="43"/>
      <c r="AF47" s="22"/>
      <c r="AG47" s="98"/>
      <c r="AH47" s="43"/>
      <c r="AI47" s="43"/>
      <c r="AJ47" s="43"/>
      <c r="AK47" s="46">
        <f t="shared" si="7"/>
        <v>0</v>
      </c>
      <c r="AL47" s="46">
        <f t="shared" si="8"/>
        <v>0</v>
      </c>
      <c r="AM47" s="150"/>
      <c r="AN47" s="151"/>
      <c r="AO47" s="151"/>
      <c r="AP47" s="152"/>
    </row>
    <row r="48" spans="1:42" ht="14.1" customHeight="1">
      <c r="A48" s="42">
        <v>20</v>
      </c>
      <c r="B48" s="52"/>
      <c r="C48" s="28"/>
      <c r="D48" s="22"/>
      <c r="E48" s="28"/>
      <c r="F48" s="43"/>
      <c r="G48" s="43"/>
      <c r="H48" s="43"/>
      <c r="I48" s="43"/>
      <c r="J48" s="43"/>
      <c r="K48" s="22"/>
      <c r="L48" s="43"/>
      <c r="M48" s="43"/>
      <c r="N48" s="43"/>
      <c r="O48" s="43"/>
      <c r="P48" s="98"/>
      <c r="Q48" s="43"/>
      <c r="R48" s="22"/>
      <c r="S48" s="43"/>
      <c r="T48" s="43"/>
      <c r="U48" s="43"/>
      <c r="V48" s="43"/>
      <c r="W48" s="43"/>
      <c r="X48" s="43"/>
      <c r="Y48" s="22"/>
      <c r="Z48" s="43"/>
      <c r="AA48" s="43"/>
      <c r="AB48" s="43"/>
      <c r="AC48" s="43"/>
      <c r="AD48" s="43"/>
      <c r="AE48" s="43"/>
      <c r="AF48" s="22"/>
      <c r="AG48" s="98"/>
      <c r="AH48" s="43"/>
      <c r="AI48" s="43"/>
      <c r="AJ48" s="43"/>
      <c r="AK48" s="46">
        <f t="shared" si="7"/>
        <v>0</v>
      </c>
      <c r="AL48" s="46">
        <f t="shared" si="8"/>
        <v>0</v>
      </c>
      <c r="AM48" s="150"/>
      <c r="AN48" s="151"/>
      <c r="AO48" s="151"/>
      <c r="AP48" s="152"/>
    </row>
    <row r="49" spans="1:42" ht="14.1" customHeight="1">
      <c r="A49" s="42">
        <v>21</v>
      </c>
      <c r="B49" s="52"/>
      <c r="C49" s="28"/>
      <c r="D49" s="22"/>
      <c r="E49" s="28"/>
      <c r="F49" s="43"/>
      <c r="G49" s="43"/>
      <c r="H49" s="43"/>
      <c r="I49" s="43"/>
      <c r="J49" s="43"/>
      <c r="K49" s="22"/>
      <c r="L49" s="43"/>
      <c r="M49" s="43"/>
      <c r="N49" s="43"/>
      <c r="O49" s="43"/>
      <c r="P49" s="98"/>
      <c r="Q49" s="43"/>
      <c r="R49" s="22"/>
      <c r="S49" s="43"/>
      <c r="T49" s="43"/>
      <c r="U49" s="43"/>
      <c r="V49" s="43"/>
      <c r="W49" s="43"/>
      <c r="X49" s="43"/>
      <c r="Y49" s="22"/>
      <c r="Z49" s="43"/>
      <c r="AA49" s="43"/>
      <c r="AB49" s="43"/>
      <c r="AC49" s="43"/>
      <c r="AD49" s="43"/>
      <c r="AE49" s="43"/>
      <c r="AF49" s="22"/>
      <c r="AG49" s="98"/>
      <c r="AH49" s="43"/>
      <c r="AI49" s="43"/>
      <c r="AJ49" s="43"/>
      <c r="AK49" s="46">
        <f t="shared" si="7"/>
        <v>0</v>
      </c>
      <c r="AL49" s="46">
        <f t="shared" si="8"/>
        <v>0</v>
      </c>
      <c r="AM49" s="150"/>
      <c r="AN49" s="151"/>
      <c r="AO49" s="151"/>
      <c r="AP49" s="152"/>
    </row>
    <row r="50" spans="1:42" ht="14.1" customHeight="1">
      <c r="A50" s="42">
        <v>22</v>
      </c>
      <c r="B50" s="52"/>
      <c r="C50" s="28"/>
      <c r="D50" s="22"/>
      <c r="E50" s="28"/>
      <c r="F50" s="43"/>
      <c r="G50" s="43"/>
      <c r="H50" s="43"/>
      <c r="I50" s="43"/>
      <c r="J50" s="43"/>
      <c r="K50" s="22"/>
      <c r="L50" s="43"/>
      <c r="M50" s="43"/>
      <c r="N50" s="43"/>
      <c r="O50" s="43"/>
      <c r="P50" s="98"/>
      <c r="Q50" s="43"/>
      <c r="R50" s="22"/>
      <c r="S50" s="43"/>
      <c r="T50" s="43"/>
      <c r="U50" s="43"/>
      <c r="V50" s="43"/>
      <c r="W50" s="43"/>
      <c r="X50" s="43"/>
      <c r="Y50" s="22"/>
      <c r="Z50" s="43"/>
      <c r="AA50" s="43"/>
      <c r="AB50" s="43"/>
      <c r="AC50" s="43"/>
      <c r="AD50" s="43"/>
      <c r="AE50" s="43"/>
      <c r="AF50" s="22"/>
      <c r="AG50" s="98"/>
      <c r="AH50" s="43"/>
      <c r="AI50" s="43"/>
      <c r="AJ50" s="43"/>
      <c r="AK50" s="46">
        <f t="shared" si="7"/>
        <v>0</v>
      </c>
      <c r="AL50" s="46">
        <f t="shared" si="8"/>
        <v>0</v>
      </c>
      <c r="AM50" s="39"/>
      <c r="AN50" s="40"/>
      <c r="AO50" s="40"/>
      <c r="AP50" s="41"/>
    </row>
    <row r="51" spans="1:42" ht="14.1" customHeight="1">
      <c r="A51" s="42">
        <v>23</v>
      </c>
      <c r="B51" s="52"/>
      <c r="C51" s="28"/>
      <c r="D51" s="22"/>
      <c r="E51" s="28"/>
      <c r="F51" s="43"/>
      <c r="G51" s="43"/>
      <c r="H51" s="43"/>
      <c r="I51" s="43"/>
      <c r="J51" s="43"/>
      <c r="K51" s="22"/>
      <c r="L51" s="43"/>
      <c r="M51" s="43"/>
      <c r="N51" s="43"/>
      <c r="O51" s="43"/>
      <c r="P51" s="98"/>
      <c r="Q51" s="43"/>
      <c r="R51" s="22"/>
      <c r="S51" s="43"/>
      <c r="T51" s="43"/>
      <c r="U51" s="43"/>
      <c r="V51" s="43"/>
      <c r="W51" s="43"/>
      <c r="X51" s="43"/>
      <c r="Y51" s="22"/>
      <c r="Z51" s="43"/>
      <c r="AA51" s="43"/>
      <c r="AB51" s="43"/>
      <c r="AC51" s="43"/>
      <c r="AD51" s="43"/>
      <c r="AE51" s="43"/>
      <c r="AF51" s="22"/>
      <c r="AG51" s="98"/>
      <c r="AH51" s="43"/>
      <c r="AI51" s="43"/>
      <c r="AJ51" s="43"/>
      <c r="AK51" s="46">
        <f t="shared" si="7"/>
        <v>0</v>
      </c>
      <c r="AL51" s="46">
        <f t="shared" si="8"/>
        <v>0</v>
      </c>
      <c r="AM51" s="39"/>
      <c r="AN51" s="40"/>
      <c r="AO51" s="40"/>
      <c r="AP51" s="41"/>
    </row>
    <row r="52" spans="1:42" ht="14.1" customHeight="1">
      <c r="A52" s="42">
        <v>24</v>
      </c>
      <c r="B52" s="52"/>
      <c r="C52" s="28"/>
      <c r="D52" s="22"/>
      <c r="E52" s="28"/>
      <c r="F52" s="43"/>
      <c r="G52" s="43"/>
      <c r="H52" s="43"/>
      <c r="I52" s="43"/>
      <c r="J52" s="43"/>
      <c r="K52" s="22"/>
      <c r="L52" s="43"/>
      <c r="M52" s="43"/>
      <c r="N52" s="43"/>
      <c r="O52" s="43"/>
      <c r="P52" s="98"/>
      <c r="Q52" s="43"/>
      <c r="R52" s="22"/>
      <c r="S52" s="43"/>
      <c r="T52" s="43"/>
      <c r="U52" s="43"/>
      <c r="V52" s="43"/>
      <c r="W52" s="43"/>
      <c r="X52" s="43"/>
      <c r="Y52" s="22"/>
      <c r="Z52" s="43"/>
      <c r="AA52" s="43"/>
      <c r="AB52" s="43"/>
      <c r="AC52" s="43"/>
      <c r="AD52" s="43"/>
      <c r="AE52" s="43"/>
      <c r="AF52" s="22"/>
      <c r="AG52" s="98"/>
      <c r="AH52" s="43"/>
      <c r="AI52" s="43"/>
      <c r="AJ52" s="43"/>
      <c r="AK52" s="46">
        <f t="shared" si="7"/>
        <v>0</v>
      </c>
      <c r="AL52" s="46">
        <f t="shared" si="8"/>
        <v>0</v>
      </c>
      <c r="AM52" s="39"/>
      <c r="AN52" s="40"/>
      <c r="AO52" s="40"/>
      <c r="AP52" s="41"/>
    </row>
    <row r="53" spans="1:42" ht="14.1" customHeight="1">
      <c r="A53" s="42">
        <v>25</v>
      </c>
      <c r="B53" s="52"/>
      <c r="C53" s="28"/>
      <c r="D53" s="22"/>
      <c r="E53" s="28"/>
      <c r="F53" s="43"/>
      <c r="G53" s="43"/>
      <c r="H53" s="43"/>
      <c r="I53" s="43"/>
      <c r="J53" s="43"/>
      <c r="K53" s="22"/>
      <c r="L53" s="43"/>
      <c r="M53" s="43"/>
      <c r="N53" s="43"/>
      <c r="O53" s="43"/>
      <c r="P53" s="98"/>
      <c r="Q53" s="43"/>
      <c r="R53" s="22"/>
      <c r="S53" s="43"/>
      <c r="T53" s="43"/>
      <c r="U53" s="43"/>
      <c r="V53" s="43"/>
      <c r="W53" s="43"/>
      <c r="X53" s="43"/>
      <c r="Y53" s="22"/>
      <c r="Z53" s="43"/>
      <c r="AA53" s="43"/>
      <c r="AB53" s="43"/>
      <c r="AC53" s="43"/>
      <c r="AD53" s="43"/>
      <c r="AE53" s="43"/>
      <c r="AF53" s="22"/>
      <c r="AG53" s="98"/>
      <c r="AH53" s="43"/>
      <c r="AI53" s="43"/>
      <c r="AJ53" s="43"/>
      <c r="AK53" s="46">
        <f t="shared" si="7"/>
        <v>0</v>
      </c>
      <c r="AL53" s="46">
        <f t="shared" si="8"/>
        <v>0</v>
      </c>
      <c r="AM53" s="39"/>
      <c r="AN53" s="40"/>
      <c r="AO53" s="40"/>
      <c r="AP53" s="41"/>
    </row>
    <row r="54" spans="1:42" ht="14.1" customHeight="1">
      <c r="A54" s="42">
        <v>26</v>
      </c>
      <c r="B54" s="52"/>
      <c r="C54" s="28"/>
      <c r="D54" s="22"/>
      <c r="E54" s="28"/>
      <c r="F54" s="43"/>
      <c r="G54" s="43"/>
      <c r="H54" s="43"/>
      <c r="I54" s="43"/>
      <c r="J54" s="43"/>
      <c r="K54" s="22"/>
      <c r="L54" s="43"/>
      <c r="M54" s="43"/>
      <c r="N54" s="43"/>
      <c r="O54" s="43"/>
      <c r="P54" s="98"/>
      <c r="Q54" s="43"/>
      <c r="R54" s="22"/>
      <c r="S54" s="43"/>
      <c r="T54" s="43"/>
      <c r="U54" s="43"/>
      <c r="V54" s="43"/>
      <c r="W54" s="43"/>
      <c r="X54" s="43"/>
      <c r="Y54" s="22"/>
      <c r="Z54" s="43"/>
      <c r="AA54" s="43"/>
      <c r="AB54" s="43"/>
      <c r="AC54" s="43"/>
      <c r="AD54" s="43"/>
      <c r="AE54" s="43"/>
      <c r="AF54" s="22"/>
      <c r="AG54" s="98"/>
      <c r="AH54" s="43"/>
      <c r="AI54" s="43"/>
      <c r="AJ54" s="43"/>
      <c r="AK54" s="46">
        <f t="shared" si="7"/>
        <v>0</v>
      </c>
      <c r="AL54" s="46">
        <f t="shared" si="8"/>
        <v>0</v>
      </c>
      <c r="AM54" s="39"/>
      <c r="AN54" s="40"/>
      <c r="AO54" s="40"/>
      <c r="AP54" s="41"/>
    </row>
    <row r="55" spans="1:42" ht="14.1" customHeight="1">
      <c r="A55" s="42">
        <v>27</v>
      </c>
      <c r="B55" s="52"/>
      <c r="C55" s="28"/>
      <c r="D55" s="22"/>
      <c r="E55" s="28"/>
      <c r="F55" s="43"/>
      <c r="G55" s="43"/>
      <c r="H55" s="43"/>
      <c r="I55" s="43"/>
      <c r="J55" s="43"/>
      <c r="K55" s="22"/>
      <c r="L55" s="43"/>
      <c r="M55" s="43"/>
      <c r="N55" s="43"/>
      <c r="O55" s="43"/>
      <c r="P55" s="98"/>
      <c r="Q55" s="43"/>
      <c r="R55" s="22"/>
      <c r="S55" s="43"/>
      <c r="T55" s="43"/>
      <c r="U55" s="43"/>
      <c r="V55" s="43"/>
      <c r="W55" s="43"/>
      <c r="X55" s="43"/>
      <c r="Y55" s="22"/>
      <c r="Z55" s="43"/>
      <c r="AA55" s="43"/>
      <c r="AB55" s="43"/>
      <c r="AC55" s="43"/>
      <c r="AD55" s="43"/>
      <c r="AE55" s="43"/>
      <c r="AF55" s="22"/>
      <c r="AG55" s="98"/>
      <c r="AH55" s="43"/>
      <c r="AI55" s="43"/>
      <c r="AJ55" s="43"/>
      <c r="AK55" s="46">
        <f t="shared" si="7"/>
        <v>0</v>
      </c>
      <c r="AL55" s="46">
        <f t="shared" si="8"/>
        <v>0</v>
      </c>
      <c r="AM55" s="39"/>
      <c r="AN55" s="40"/>
      <c r="AO55" s="40"/>
      <c r="AP55" s="41"/>
    </row>
    <row r="56" spans="1:42" ht="14.1" customHeight="1">
      <c r="A56" s="42">
        <v>28</v>
      </c>
      <c r="B56" s="52"/>
      <c r="C56" s="28"/>
      <c r="D56" s="22"/>
      <c r="E56" s="28"/>
      <c r="F56" s="43"/>
      <c r="G56" s="43"/>
      <c r="H56" s="43"/>
      <c r="I56" s="43"/>
      <c r="J56" s="43"/>
      <c r="K56" s="22"/>
      <c r="L56" s="43"/>
      <c r="M56" s="43"/>
      <c r="N56" s="43"/>
      <c r="O56" s="43"/>
      <c r="P56" s="98"/>
      <c r="Q56" s="43"/>
      <c r="R56" s="22"/>
      <c r="S56" s="43"/>
      <c r="T56" s="43"/>
      <c r="U56" s="43"/>
      <c r="V56" s="43"/>
      <c r="W56" s="43"/>
      <c r="X56" s="43"/>
      <c r="Y56" s="22"/>
      <c r="Z56" s="43"/>
      <c r="AA56" s="43"/>
      <c r="AB56" s="43"/>
      <c r="AC56" s="43"/>
      <c r="AD56" s="43"/>
      <c r="AE56" s="43"/>
      <c r="AF56" s="22"/>
      <c r="AG56" s="98"/>
      <c r="AH56" s="43"/>
      <c r="AI56" s="43"/>
      <c r="AJ56" s="43"/>
      <c r="AK56" s="46">
        <f t="shared" si="7"/>
        <v>0</v>
      </c>
      <c r="AL56" s="46">
        <f t="shared" si="8"/>
        <v>0</v>
      </c>
      <c r="AM56" s="39"/>
      <c r="AN56" s="40"/>
      <c r="AO56" s="40"/>
      <c r="AP56" s="41"/>
    </row>
    <row r="57" spans="1:42" ht="14.1" customHeight="1">
      <c r="A57" s="42">
        <v>29</v>
      </c>
      <c r="B57" s="52"/>
      <c r="C57" s="28"/>
      <c r="D57" s="22"/>
      <c r="E57" s="28"/>
      <c r="F57" s="43"/>
      <c r="G57" s="43"/>
      <c r="H57" s="43"/>
      <c r="I57" s="43"/>
      <c r="J57" s="43"/>
      <c r="K57" s="22"/>
      <c r="L57" s="43"/>
      <c r="M57" s="43"/>
      <c r="N57" s="43"/>
      <c r="O57" s="43"/>
      <c r="P57" s="98"/>
      <c r="Q57" s="43"/>
      <c r="R57" s="22"/>
      <c r="S57" s="43"/>
      <c r="T57" s="43"/>
      <c r="U57" s="43"/>
      <c r="V57" s="43"/>
      <c r="W57" s="43"/>
      <c r="X57" s="43"/>
      <c r="Y57" s="22"/>
      <c r="Z57" s="43"/>
      <c r="AA57" s="43"/>
      <c r="AB57" s="43"/>
      <c r="AC57" s="43"/>
      <c r="AD57" s="43"/>
      <c r="AE57" s="43"/>
      <c r="AF57" s="22"/>
      <c r="AG57" s="98"/>
      <c r="AH57" s="43"/>
      <c r="AI57" s="43"/>
      <c r="AJ57" s="43"/>
      <c r="AK57" s="46">
        <f t="shared" si="7"/>
        <v>0</v>
      </c>
      <c r="AL57" s="46">
        <f t="shared" si="8"/>
        <v>0</v>
      </c>
      <c r="AM57" s="39"/>
      <c r="AN57" s="40"/>
      <c r="AO57" s="40"/>
      <c r="AP57" s="41"/>
    </row>
    <row r="58" spans="1:42" ht="14.1" customHeight="1">
      <c r="A58" s="42">
        <v>30</v>
      </c>
      <c r="B58" s="52"/>
      <c r="C58" s="28"/>
      <c r="D58" s="22"/>
      <c r="E58" s="28"/>
      <c r="F58" s="43"/>
      <c r="G58" s="43"/>
      <c r="H58" s="43"/>
      <c r="I58" s="43"/>
      <c r="J58" s="43"/>
      <c r="K58" s="22"/>
      <c r="L58" s="43"/>
      <c r="M58" s="43"/>
      <c r="N58" s="43"/>
      <c r="O58" s="43"/>
      <c r="P58" s="98"/>
      <c r="Q58" s="43"/>
      <c r="R58" s="22"/>
      <c r="S58" s="43"/>
      <c r="T58" s="43"/>
      <c r="U58" s="43"/>
      <c r="V58" s="43"/>
      <c r="W58" s="43"/>
      <c r="X58" s="43"/>
      <c r="Y58" s="22"/>
      <c r="Z58" s="43"/>
      <c r="AA58" s="43"/>
      <c r="AB58" s="43"/>
      <c r="AC58" s="43"/>
      <c r="AD58" s="43"/>
      <c r="AE58" s="43"/>
      <c r="AF58" s="22"/>
      <c r="AG58" s="98"/>
      <c r="AH58" s="43"/>
      <c r="AI58" s="43"/>
      <c r="AJ58" s="43"/>
      <c r="AK58" s="46">
        <f t="shared" si="7"/>
        <v>0</v>
      </c>
      <c r="AL58" s="46">
        <f t="shared" si="8"/>
        <v>0</v>
      </c>
      <c r="AM58" s="39"/>
      <c r="AN58" s="40"/>
      <c r="AO58" s="40"/>
      <c r="AP58" s="41"/>
    </row>
    <row r="59" spans="1:42" ht="14.1" customHeight="1">
      <c r="A59" s="42">
        <v>31</v>
      </c>
      <c r="B59" s="52"/>
      <c r="C59" s="28"/>
      <c r="D59" s="22"/>
      <c r="E59" s="28"/>
      <c r="F59" s="43"/>
      <c r="G59" s="43"/>
      <c r="H59" s="43"/>
      <c r="I59" s="43"/>
      <c r="J59" s="43"/>
      <c r="K59" s="22"/>
      <c r="L59" s="43"/>
      <c r="M59" s="43"/>
      <c r="N59" s="43"/>
      <c r="O59" s="43"/>
      <c r="P59" s="98"/>
      <c r="Q59" s="43"/>
      <c r="R59" s="22"/>
      <c r="S59" s="43"/>
      <c r="T59" s="43"/>
      <c r="U59" s="43"/>
      <c r="V59" s="43"/>
      <c r="W59" s="43"/>
      <c r="X59" s="43"/>
      <c r="Y59" s="22"/>
      <c r="Z59" s="43"/>
      <c r="AA59" s="43"/>
      <c r="AB59" s="43"/>
      <c r="AC59" s="43"/>
      <c r="AD59" s="43"/>
      <c r="AE59" s="43"/>
      <c r="AF59" s="22"/>
      <c r="AG59" s="98"/>
      <c r="AH59" s="43"/>
      <c r="AI59" s="43"/>
      <c r="AJ59" s="43"/>
      <c r="AK59" s="46">
        <f t="shared" si="7"/>
        <v>0</v>
      </c>
      <c r="AL59" s="46">
        <f t="shared" si="8"/>
        <v>0</v>
      </c>
      <c r="AM59" s="39"/>
      <c r="AN59" s="40"/>
      <c r="AO59" s="40"/>
      <c r="AP59" s="41"/>
    </row>
    <row r="60" spans="1:42" ht="14.1" customHeight="1">
      <c r="A60" s="42">
        <v>32</v>
      </c>
      <c r="B60" s="52"/>
      <c r="C60" s="28"/>
      <c r="D60" s="22"/>
      <c r="E60" s="28"/>
      <c r="F60" s="43"/>
      <c r="G60" s="43"/>
      <c r="H60" s="43"/>
      <c r="I60" s="43"/>
      <c r="J60" s="43"/>
      <c r="K60" s="22"/>
      <c r="L60" s="43"/>
      <c r="M60" s="43"/>
      <c r="N60" s="43"/>
      <c r="O60" s="43"/>
      <c r="P60" s="98"/>
      <c r="Q60" s="43"/>
      <c r="R60" s="22"/>
      <c r="S60" s="43"/>
      <c r="T60" s="43"/>
      <c r="U60" s="43"/>
      <c r="V60" s="43"/>
      <c r="W60" s="43"/>
      <c r="X60" s="43"/>
      <c r="Y60" s="22"/>
      <c r="Z60" s="43"/>
      <c r="AA60" s="43"/>
      <c r="AB60" s="43"/>
      <c r="AC60" s="43"/>
      <c r="AD60" s="43"/>
      <c r="AE60" s="43"/>
      <c r="AF60" s="22"/>
      <c r="AG60" s="98"/>
      <c r="AH60" s="43"/>
      <c r="AI60" s="43"/>
      <c r="AJ60" s="43"/>
      <c r="AK60" s="46">
        <f t="shared" si="7"/>
        <v>0</v>
      </c>
      <c r="AL60" s="46">
        <f t="shared" si="8"/>
        <v>0</v>
      </c>
      <c r="AM60" s="39"/>
      <c r="AN60" s="40"/>
      <c r="AO60" s="40"/>
      <c r="AP60" s="41"/>
    </row>
    <row r="61" spans="1:42" ht="14.1" customHeight="1">
      <c r="A61" s="42">
        <v>33</v>
      </c>
      <c r="B61" s="52"/>
      <c r="C61" s="28"/>
      <c r="D61" s="22"/>
      <c r="E61" s="28"/>
      <c r="F61" s="43"/>
      <c r="G61" s="43"/>
      <c r="H61" s="43"/>
      <c r="I61" s="43"/>
      <c r="J61" s="43"/>
      <c r="K61" s="22"/>
      <c r="L61" s="43"/>
      <c r="M61" s="43"/>
      <c r="N61" s="43"/>
      <c r="O61" s="43"/>
      <c r="P61" s="98"/>
      <c r="Q61" s="43"/>
      <c r="R61" s="22"/>
      <c r="S61" s="43"/>
      <c r="T61" s="43"/>
      <c r="U61" s="43"/>
      <c r="V61" s="43"/>
      <c r="W61" s="43"/>
      <c r="X61" s="43"/>
      <c r="Y61" s="22"/>
      <c r="Z61" s="43"/>
      <c r="AA61" s="43"/>
      <c r="AB61" s="43"/>
      <c r="AC61" s="43"/>
      <c r="AD61" s="43"/>
      <c r="AE61" s="43"/>
      <c r="AF61" s="22"/>
      <c r="AG61" s="98"/>
      <c r="AH61" s="43"/>
      <c r="AI61" s="43"/>
      <c r="AJ61" s="43"/>
      <c r="AK61" s="46">
        <f t="shared" si="7"/>
        <v>0</v>
      </c>
      <c r="AL61" s="46">
        <f t="shared" si="8"/>
        <v>0</v>
      </c>
      <c r="AM61" s="39"/>
      <c r="AN61" s="40"/>
      <c r="AO61" s="40"/>
      <c r="AP61" s="41"/>
    </row>
    <row r="62" spans="1:42" ht="14.1" customHeight="1">
      <c r="A62" s="42">
        <v>34</v>
      </c>
      <c r="B62" s="56"/>
      <c r="C62" s="28"/>
      <c r="D62" s="22"/>
      <c r="E62" s="28"/>
      <c r="F62" s="43"/>
      <c r="G62" s="43"/>
      <c r="H62" s="43"/>
      <c r="I62" s="43"/>
      <c r="J62" s="43"/>
      <c r="K62" s="22"/>
      <c r="L62" s="43"/>
      <c r="M62" s="43"/>
      <c r="N62" s="43"/>
      <c r="O62" s="43"/>
      <c r="P62" s="98"/>
      <c r="Q62" s="43"/>
      <c r="R62" s="22"/>
      <c r="S62" s="43"/>
      <c r="T62" s="43"/>
      <c r="U62" s="43"/>
      <c r="V62" s="43"/>
      <c r="W62" s="43"/>
      <c r="X62" s="43"/>
      <c r="Y62" s="22"/>
      <c r="Z62" s="43"/>
      <c r="AA62" s="43"/>
      <c r="AB62" s="43"/>
      <c r="AC62" s="43"/>
      <c r="AD62" s="43"/>
      <c r="AE62" s="43"/>
      <c r="AF62" s="22"/>
      <c r="AG62" s="98"/>
      <c r="AH62" s="43"/>
      <c r="AI62" s="43"/>
      <c r="AJ62" s="43"/>
      <c r="AK62" s="46">
        <f t="shared" si="7"/>
        <v>0</v>
      </c>
      <c r="AL62" s="46">
        <f t="shared" si="8"/>
        <v>0</v>
      </c>
      <c r="AM62" s="39"/>
      <c r="AN62" s="40"/>
      <c r="AO62" s="40"/>
      <c r="AP62" s="41"/>
    </row>
    <row r="63" spans="1:42" ht="14.1" customHeight="1">
      <c r="A63" s="42">
        <v>35</v>
      </c>
      <c r="B63" s="52"/>
      <c r="C63" s="28"/>
      <c r="D63" s="22"/>
      <c r="E63" s="28"/>
      <c r="F63" s="43"/>
      <c r="G63" s="43"/>
      <c r="H63" s="43"/>
      <c r="I63" s="43"/>
      <c r="J63" s="43"/>
      <c r="K63" s="22"/>
      <c r="L63" s="43"/>
      <c r="M63" s="43"/>
      <c r="N63" s="43"/>
      <c r="O63" s="43"/>
      <c r="P63" s="98"/>
      <c r="Q63" s="43"/>
      <c r="R63" s="22"/>
      <c r="S63" s="43"/>
      <c r="T63" s="43"/>
      <c r="U63" s="43"/>
      <c r="V63" s="43"/>
      <c r="W63" s="43"/>
      <c r="X63" s="43"/>
      <c r="Y63" s="22"/>
      <c r="Z63" s="43"/>
      <c r="AA63" s="43"/>
      <c r="AB63" s="43"/>
      <c r="AC63" s="43"/>
      <c r="AD63" s="43"/>
      <c r="AE63" s="43"/>
      <c r="AF63" s="22"/>
      <c r="AG63" s="98"/>
      <c r="AH63" s="43"/>
      <c r="AI63" s="43"/>
      <c r="AJ63" s="43"/>
      <c r="AK63" s="46">
        <f t="shared" si="7"/>
        <v>0</v>
      </c>
      <c r="AL63" s="46">
        <f t="shared" si="8"/>
        <v>0</v>
      </c>
      <c r="AM63" s="150"/>
      <c r="AN63" s="151"/>
      <c r="AO63" s="151"/>
      <c r="AP63" s="152"/>
    </row>
    <row r="64" spans="1:42" ht="14.1" customHeight="1" thickBot="1">
      <c r="A64" s="50">
        <v>36</v>
      </c>
      <c r="B64" s="57"/>
      <c r="C64" s="28"/>
      <c r="D64" s="22"/>
      <c r="E64" s="28"/>
      <c r="F64" s="43"/>
      <c r="G64" s="43"/>
      <c r="H64" s="43"/>
      <c r="I64" s="43"/>
      <c r="J64" s="43"/>
      <c r="K64" s="22"/>
      <c r="L64" s="43"/>
      <c r="M64" s="43"/>
      <c r="N64" s="43"/>
      <c r="O64" s="43"/>
      <c r="P64" s="98"/>
      <c r="Q64" s="43"/>
      <c r="R64" s="22"/>
      <c r="S64" s="43"/>
      <c r="T64" s="43"/>
      <c r="U64" s="43"/>
      <c r="V64" s="43"/>
      <c r="W64" s="43"/>
      <c r="X64" s="43"/>
      <c r="Y64" s="22"/>
      <c r="Z64" s="43"/>
      <c r="AA64" s="43"/>
      <c r="AB64" s="43"/>
      <c r="AC64" s="43"/>
      <c r="AD64" s="43"/>
      <c r="AE64" s="43"/>
      <c r="AF64" s="22"/>
      <c r="AG64" s="98"/>
      <c r="AH64" s="43"/>
      <c r="AI64" s="43"/>
      <c r="AJ64" s="43"/>
      <c r="AK64" s="46">
        <f t="shared" si="7"/>
        <v>0</v>
      </c>
      <c r="AL64" s="46">
        <f t="shared" si="8"/>
        <v>0</v>
      </c>
      <c r="AM64" s="150"/>
      <c r="AN64" s="151"/>
      <c r="AO64" s="151"/>
      <c r="AP64" s="152"/>
    </row>
    <row r="65" spans="1:42" ht="15.75" thickBot="1">
      <c r="A65" s="139" t="s">
        <v>35</v>
      </c>
      <c r="B65" s="140"/>
      <c r="C65" s="48">
        <f t="shared" ref="C65" si="9">ROWS(C29:C64) - COUNTIF(C29:C64,"X")</f>
        <v>36</v>
      </c>
      <c r="D65" s="45">
        <f t="shared" ref="D65" si="10">COUNTIF(D29:D64,"X")</f>
        <v>0</v>
      </c>
      <c r="E65" s="48">
        <f t="shared" ref="E65:J65" si="11">ROWS(E29:E64) - COUNTIF(E29:E64,"X")</f>
        <v>36</v>
      </c>
      <c r="F65" s="48">
        <f t="shared" si="11"/>
        <v>36</v>
      </c>
      <c r="G65" s="48">
        <f t="shared" si="11"/>
        <v>36</v>
      </c>
      <c r="H65" s="48">
        <f t="shared" si="11"/>
        <v>36</v>
      </c>
      <c r="I65" s="48">
        <f t="shared" si="11"/>
        <v>36</v>
      </c>
      <c r="J65" s="48">
        <f t="shared" si="11"/>
        <v>36</v>
      </c>
      <c r="K65" s="45">
        <f t="shared" ref="K65:AF65" si="12">COUNTIF(K29:K64,"X")</f>
        <v>0</v>
      </c>
      <c r="L65" s="48">
        <f t="shared" ref="L65:Q65" si="13">ROWS(L29:L64) - COUNTIF(L29:L64,"X")</f>
        <v>36</v>
      </c>
      <c r="M65" s="48">
        <f t="shared" si="13"/>
        <v>36</v>
      </c>
      <c r="N65" s="48">
        <f t="shared" si="13"/>
        <v>36</v>
      </c>
      <c r="O65" s="48">
        <f t="shared" si="13"/>
        <v>36</v>
      </c>
      <c r="P65" s="98"/>
      <c r="Q65" s="48">
        <f t="shared" si="13"/>
        <v>36</v>
      </c>
      <c r="R65" s="45">
        <f t="shared" si="12"/>
        <v>0</v>
      </c>
      <c r="S65" s="48">
        <f t="shared" ref="S65:X65" si="14">ROWS(S29:S64) - COUNTIF(S29:S64,"X")</f>
        <v>36</v>
      </c>
      <c r="T65" s="48">
        <f t="shared" si="14"/>
        <v>36</v>
      </c>
      <c r="U65" s="48">
        <f t="shared" si="14"/>
        <v>36</v>
      </c>
      <c r="V65" s="48">
        <f t="shared" si="14"/>
        <v>36</v>
      </c>
      <c r="W65" s="48">
        <f t="shared" si="14"/>
        <v>36</v>
      </c>
      <c r="X65" s="48">
        <f t="shared" si="14"/>
        <v>36</v>
      </c>
      <c r="Y65" s="45">
        <f t="shared" si="12"/>
        <v>0</v>
      </c>
      <c r="Z65" s="48">
        <f t="shared" ref="Z65:AE65" si="15">ROWS(Z29:Z64) - COUNTIF(Z29:Z64,"X")</f>
        <v>36</v>
      </c>
      <c r="AA65" s="48">
        <f t="shared" si="15"/>
        <v>36</v>
      </c>
      <c r="AB65" s="48">
        <f t="shared" si="15"/>
        <v>36</v>
      </c>
      <c r="AC65" s="48">
        <f t="shared" si="15"/>
        <v>36</v>
      </c>
      <c r="AD65" s="48">
        <f t="shared" si="15"/>
        <v>36</v>
      </c>
      <c r="AE65" s="48">
        <f t="shared" si="15"/>
        <v>36</v>
      </c>
      <c r="AF65" s="45">
        <f t="shared" si="12"/>
        <v>0</v>
      </c>
      <c r="AG65" s="98"/>
      <c r="AH65" s="48"/>
      <c r="AI65" s="48"/>
      <c r="AJ65" s="48"/>
      <c r="AK65" s="47">
        <f>SUM(AK29:AK64)</f>
        <v>0</v>
      </c>
      <c r="AL65" s="47">
        <f>SUM(AL29:AL64)</f>
        <v>0</v>
      </c>
      <c r="AM65" s="141">
        <f>SUM(C65:AJ65)</f>
        <v>864</v>
      </c>
      <c r="AN65" s="141"/>
      <c r="AO65" s="141"/>
      <c r="AP65" s="142"/>
    </row>
    <row r="66" spans="1:42" ht="15" customHeight="1" thickBot="1">
      <c r="A66" s="139" t="s">
        <v>36</v>
      </c>
      <c r="B66" s="140"/>
      <c r="C66" s="44">
        <f>SUM(C28,C65)</f>
        <v>49</v>
      </c>
      <c r="D66" s="21"/>
      <c r="E66" s="44">
        <f t="shared" ref="E66:F66" si="16">SUM(E28,E65)</f>
        <v>49</v>
      </c>
      <c r="F66" s="44">
        <f t="shared" si="16"/>
        <v>50</v>
      </c>
      <c r="G66" s="44">
        <f>SUM(G28,G65)</f>
        <v>50</v>
      </c>
      <c r="H66" s="44">
        <f>SUM(H28,H65)</f>
        <v>50</v>
      </c>
      <c r="I66" s="44">
        <f>SUM(I28,I65)</f>
        <v>50</v>
      </c>
      <c r="J66" s="44">
        <f>SUM(J28,J65)</f>
        <v>50</v>
      </c>
      <c r="K66" s="21"/>
      <c r="L66" s="44">
        <f t="shared" ref="L66:Q66" si="17">SUM(L28,L65)</f>
        <v>50</v>
      </c>
      <c r="M66" s="44">
        <f t="shared" si="17"/>
        <v>50</v>
      </c>
      <c r="N66" s="44">
        <f t="shared" si="17"/>
        <v>50</v>
      </c>
      <c r="O66" s="44">
        <f t="shared" si="17"/>
        <v>50</v>
      </c>
      <c r="P66" s="99"/>
      <c r="Q66" s="44">
        <f t="shared" si="17"/>
        <v>50</v>
      </c>
      <c r="R66" s="21"/>
      <c r="S66" s="44">
        <f t="shared" ref="S66:X66" si="18">SUM(S28,S65)</f>
        <v>50</v>
      </c>
      <c r="T66" s="44">
        <f t="shared" si="18"/>
        <v>50</v>
      </c>
      <c r="U66" s="44">
        <f t="shared" si="18"/>
        <v>50</v>
      </c>
      <c r="V66" s="44">
        <f t="shared" si="18"/>
        <v>50</v>
      </c>
      <c r="W66" s="44">
        <f t="shared" si="18"/>
        <v>50</v>
      </c>
      <c r="X66" s="44">
        <f t="shared" si="18"/>
        <v>50</v>
      </c>
      <c r="Y66" s="21"/>
      <c r="Z66" s="44">
        <f t="shared" ref="Z66:AE66" si="19">SUM(Z28,Z65)</f>
        <v>50</v>
      </c>
      <c r="AA66" s="44">
        <f t="shared" si="19"/>
        <v>50</v>
      </c>
      <c r="AB66" s="44">
        <f t="shared" si="19"/>
        <v>50</v>
      </c>
      <c r="AC66" s="44">
        <f t="shared" si="19"/>
        <v>50</v>
      </c>
      <c r="AD66" s="44">
        <f t="shared" si="19"/>
        <v>50</v>
      </c>
      <c r="AE66" s="44">
        <f t="shared" si="19"/>
        <v>50</v>
      </c>
      <c r="AF66" s="21"/>
      <c r="AG66" s="99"/>
      <c r="AH66" s="44"/>
      <c r="AI66" s="44"/>
      <c r="AJ66" s="44"/>
      <c r="AK66" s="47">
        <f t="shared" ref="AK66:AL66" si="20">SUM(AK28,AK65)</f>
        <v>2</v>
      </c>
      <c r="AL66" s="47">
        <f t="shared" si="20"/>
        <v>0</v>
      </c>
      <c r="AM66" s="141">
        <f>SUM(C66:AJ66)</f>
        <v>1198</v>
      </c>
      <c r="AN66" s="141"/>
      <c r="AO66" s="141"/>
      <c r="AP66" s="142"/>
    </row>
    <row r="67" spans="1:42" ht="15.75" thickBot="1"/>
    <row r="68" spans="1:42" ht="38.25" customHeight="1">
      <c r="A68" s="143" t="s">
        <v>52</v>
      </c>
      <c r="B68" s="143"/>
      <c r="C68" s="8"/>
      <c r="E68" s="8"/>
      <c r="V68" s="144" t="s">
        <v>54</v>
      </c>
      <c r="W68" s="145"/>
      <c r="X68" s="145"/>
      <c r="Y68" s="145"/>
      <c r="Z68" s="145"/>
      <c r="AA68" s="145"/>
      <c r="AB68" s="145"/>
      <c r="AC68" s="145"/>
      <c r="AD68" s="145"/>
      <c r="AE68" s="145"/>
      <c r="AF68" s="145"/>
      <c r="AG68" s="145"/>
      <c r="AH68" s="145"/>
      <c r="AI68" s="146"/>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117"/>
      <c r="T69" s="117"/>
      <c r="U69" s="9"/>
      <c r="V69" s="100" t="s">
        <v>55</v>
      </c>
      <c r="W69" s="101"/>
      <c r="X69" s="101"/>
      <c r="Y69" s="101"/>
      <c r="Z69" s="101"/>
      <c r="AA69" s="101"/>
      <c r="AB69" s="101"/>
      <c r="AC69" s="101"/>
      <c r="AD69" s="101"/>
      <c r="AE69" s="101"/>
      <c r="AF69" s="101"/>
      <c r="AG69" s="101"/>
      <c r="AH69" s="101"/>
      <c r="AI69" s="102"/>
      <c r="AJ69" s="36"/>
      <c r="AK69" s="70" t="s">
        <v>14</v>
      </c>
      <c r="AL69" s="134">
        <v>24</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135"/>
      <c r="T70" s="135"/>
      <c r="U70" s="9"/>
      <c r="V70" s="100"/>
      <c r="W70" s="101"/>
      <c r="X70" s="101"/>
      <c r="Y70" s="101"/>
      <c r="Z70" s="101"/>
      <c r="AA70" s="101"/>
      <c r="AB70" s="101"/>
      <c r="AC70" s="101"/>
      <c r="AD70" s="101"/>
      <c r="AE70" s="101"/>
      <c r="AF70" s="101"/>
      <c r="AG70" s="101"/>
      <c r="AH70" s="101"/>
      <c r="AI70" s="102"/>
      <c r="AJ70" s="36"/>
      <c r="AK70" s="126" t="s">
        <v>19</v>
      </c>
      <c r="AL70" s="127"/>
      <c r="AM70" s="127"/>
      <c r="AN70" s="79">
        <v>14</v>
      </c>
      <c r="AO70" s="79">
        <v>36</v>
      </c>
      <c r="AP70" s="80">
        <f>AN70+AO70</f>
        <v>50</v>
      </c>
    </row>
    <row r="71" spans="1:42" ht="29.1" customHeight="1" thickBot="1">
      <c r="B71" s="133" t="s">
        <v>77</v>
      </c>
      <c r="C71" s="58"/>
      <c r="D71" s="58"/>
      <c r="E71" s="124" t="s">
        <v>21</v>
      </c>
      <c r="F71" s="124"/>
      <c r="G71" s="124"/>
      <c r="H71" s="124"/>
      <c r="I71" s="124"/>
      <c r="J71" s="124"/>
      <c r="K71" s="124"/>
      <c r="L71" s="124"/>
      <c r="M71" s="124"/>
      <c r="N71" s="124"/>
      <c r="O71" s="125" t="s">
        <v>76</v>
      </c>
      <c r="P71" s="125"/>
      <c r="V71" s="136" t="s">
        <v>56</v>
      </c>
      <c r="W71" s="137"/>
      <c r="X71" s="137"/>
      <c r="Y71" s="137"/>
      <c r="Z71" s="137"/>
      <c r="AA71" s="137"/>
      <c r="AB71" s="137"/>
      <c r="AC71" s="137"/>
      <c r="AD71" s="137"/>
      <c r="AE71" s="137"/>
      <c r="AF71" s="137"/>
      <c r="AG71" s="137"/>
      <c r="AH71" s="137"/>
      <c r="AI71" s="138"/>
      <c r="AJ71" s="37"/>
      <c r="AK71" s="126" t="s">
        <v>20</v>
      </c>
      <c r="AL71" s="127"/>
      <c r="AM71" s="127"/>
      <c r="AN71" s="79">
        <v>0</v>
      </c>
      <c r="AO71" s="79">
        <v>0</v>
      </c>
      <c r="AP71" s="80">
        <v>0</v>
      </c>
    </row>
    <row r="72" spans="1:42" ht="29.1" customHeight="1">
      <c r="B72" s="133"/>
      <c r="C72" s="58"/>
      <c r="D72" s="58"/>
      <c r="E72" s="132" t="s">
        <v>75</v>
      </c>
      <c r="F72" s="132"/>
      <c r="G72" s="132"/>
      <c r="H72" s="132"/>
      <c r="I72" s="132"/>
      <c r="J72" s="132"/>
      <c r="K72" s="132"/>
      <c r="L72" s="132"/>
      <c r="M72" s="132"/>
      <c r="N72" s="132"/>
      <c r="O72" s="125"/>
      <c r="P72" s="125"/>
      <c r="V72" s="136"/>
      <c r="W72" s="137"/>
      <c r="X72" s="137"/>
      <c r="Y72" s="137"/>
      <c r="Z72" s="137"/>
      <c r="AA72" s="137"/>
      <c r="AB72" s="137"/>
      <c r="AC72" s="137"/>
      <c r="AD72" s="137"/>
      <c r="AE72" s="137"/>
      <c r="AF72" s="137"/>
      <c r="AG72" s="137"/>
      <c r="AH72" s="137"/>
      <c r="AI72" s="138"/>
      <c r="AJ72" s="37"/>
      <c r="AK72" s="126" t="s">
        <v>21</v>
      </c>
      <c r="AL72" s="127"/>
      <c r="AM72" s="127"/>
      <c r="AN72" s="79">
        <v>14</v>
      </c>
      <c r="AO72" s="79">
        <v>36</v>
      </c>
      <c r="AP72" s="80">
        <f>AN72+AO72</f>
        <v>50</v>
      </c>
    </row>
    <row r="73" spans="1:42" ht="29.1" customHeight="1" thickBot="1">
      <c r="B73" s="133" t="s">
        <v>80</v>
      </c>
      <c r="C73" s="58"/>
      <c r="D73" s="58"/>
      <c r="E73" s="124" t="s">
        <v>78</v>
      </c>
      <c r="F73" s="124"/>
      <c r="G73" s="124"/>
      <c r="H73" s="124"/>
      <c r="I73" s="124"/>
      <c r="J73" s="124"/>
      <c r="K73" s="124"/>
      <c r="L73" s="124"/>
      <c r="M73" s="124"/>
      <c r="N73" s="124"/>
      <c r="O73" s="125"/>
      <c r="P73" s="125"/>
      <c r="V73" s="103" t="s">
        <v>57</v>
      </c>
      <c r="W73" s="104"/>
      <c r="X73" s="104"/>
      <c r="Y73" s="104"/>
      <c r="Z73" s="104"/>
      <c r="AA73" s="104"/>
      <c r="AB73" s="104"/>
      <c r="AC73" s="104"/>
      <c r="AD73" s="104"/>
      <c r="AE73" s="104"/>
      <c r="AF73" s="104"/>
      <c r="AG73" s="104"/>
      <c r="AH73" s="104"/>
      <c r="AI73" s="105"/>
      <c r="AJ73" s="38"/>
      <c r="AK73" s="126" t="s">
        <v>22</v>
      </c>
      <c r="AL73" s="127"/>
      <c r="AM73" s="127"/>
      <c r="AN73" s="81">
        <v>1</v>
      </c>
      <c r="AO73" s="81">
        <v>1</v>
      </c>
      <c r="AP73" s="82">
        <v>1</v>
      </c>
    </row>
    <row r="74" spans="1:42" ht="29.1" customHeight="1">
      <c r="B74" s="133"/>
      <c r="C74" s="58"/>
      <c r="D74" s="58"/>
      <c r="E74" s="132" t="s">
        <v>79</v>
      </c>
      <c r="F74" s="132"/>
      <c r="G74" s="132"/>
      <c r="H74" s="132"/>
      <c r="I74" s="132"/>
      <c r="J74" s="132"/>
      <c r="K74" s="132"/>
      <c r="L74" s="132"/>
      <c r="M74" s="132"/>
      <c r="N74" s="132"/>
      <c r="O74" s="125"/>
      <c r="P74" s="125"/>
      <c r="V74" s="100" t="s">
        <v>58</v>
      </c>
      <c r="W74" s="101"/>
      <c r="X74" s="101"/>
      <c r="Y74" s="101"/>
      <c r="Z74" s="101"/>
      <c r="AA74" s="101"/>
      <c r="AB74" s="101"/>
      <c r="AC74" s="101"/>
      <c r="AD74" s="101"/>
      <c r="AE74" s="101"/>
      <c r="AF74" s="101"/>
      <c r="AG74" s="101"/>
      <c r="AH74" s="101"/>
      <c r="AI74" s="102"/>
      <c r="AJ74" s="36"/>
      <c r="AK74" s="121" t="s">
        <v>99</v>
      </c>
      <c r="AL74" s="122"/>
      <c r="AM74" s="122"/>
      <c r="AN74" s="79">
        <v>14</v>
      </c>
      <c r="AO74" s="79">
        <v>36</v>
      </c>
      <c r="AP74" s="80">
        <f>AN74+AO74</f>
        <v>50</v>
      </c>
    </row>
    <row r="75" spans="1:42" ht="29.1" customHeight="1">
      <c r="V75" s="100"/>
      <c r="W75" s="101"/>
      <c r="X75" s="101"/>
      <c r="Y75" s="101"/>
      <c r="Z75" s="101"/>
      <c r="AA75" s="101"/>
      <c r="AB75" s="101"/>
      <c r="AC75" s="101"/>
      <c r="AD75" s="101"/>
      <c r="AE75" s="101"/>
      <c r="AF75" s="101"/>
      <c r="AG75" s="101"/>
      <c r="AH75" s="101"/>
      <c r="AI75" s="102"/>
      <c r="AJ75" s="36"/>
      <c r="AK75" s="121" t="s">
        <v>98</v>
      </c>
      <c r="AL75" s="122"/>
      <c r="AM75" s="122"/>
      <c r="AN75" s="81">
        <v>1</v>
      </c>
      <c r="AO75" s="81">
        <v>1</v>
      </c>
      <c r="AP75" s="82">
        <v>1</v>
      </c>
    </row>
    <row r="76" spans="1:42" s="2" customFormat="1" ht="29.1" customHeight="1" thickBot="1">
      <c r="B76" s="123" t="s">
        <v>82</v>
      </c>
      <c r="C76" s="59"/>
      <c r="D76" s="59"/>
      <c r="E76" s="124" t="s">
        <v>81</v>
      </c>
      <c r="F76" s="124"/>
      <c r="G76" s="124"/>
      <c r="H76" s="124"/>
      <c r="I76" s="124"/>
      <c r="J76" s="124"/>
      <c r="K76" s="124"/>
      <c r="L76" s="124"/>
      <c r="M76" s="124"/>
      <c r="N76" s="124"/>
      <c r="O76" s="125" t="s">
        <v>76</v>
      </c>
      <c r="P76" s="125"/>
      <c r="S76" s="3"/>
      <c r="T76" s="3"/>
      <c r="U76" s="3"/>
      <c r="V76" s="100"/>
      <c r="W76" s="101"/>
      <c r="X76" s="101"/>
      <c r="Y76" s="101"/>
      <c r="Z76" s="101"/>
      <c r="AA76" s="101"/>
      <c r="AB76" s="101"/>
      <c r="AC76" s="101"/>
      <c r="AD76" s="101"/>
      <c r="AE76" s="101"/>
      <c r="AF76" s="101"/>
      <c r="AG76" s="101"/>
      <c r="AH76" s="101"/>
      <c r="AI76" s="102"/>
      <c r="AJ76" s="36"/>
      <c r="AK76" s="126" t="s">
        <v>23</v>
      </c>
      <c r="AL76" s="127"/>
      <c r="AM76" s="127"/>
      <c r="AN76" s="79">
        <v>0</v>
      </c>
      <c r="AO76" s="79">
        <v>0</v>
      </c>
      <c r="AP76" s="80">
        <v>0</v>
      </c>
    </row>
    <row r="77" spans="1:42" s="2" customFormat="1" ht="23.25" customHeight="1">
      <c r="B77" s="123"/>
      <c r="C77" s="59"/>
      <c r="D77" s="59"/>
      <c r="E77" s="128" t="s">
        <v>21</v>
      </c>
      <c r="F77" s="128"/>
      <c r="G77" s="128"/>
      <c r="H77" s="128"/>
      <c r="I77" s="128"/>
      <c r="J77" s="128"/>
      <c r="K77" s="128"/>
      <c r="L77" s="128"/>
      <c r="M77" s="128"/>
      <c r="N77" s="128"/>
      <c r="O77" s="125"/>
      <c r="P77" s="125"/>
      <c r="S77" s="3"/>
      <c r="T77" s="3"/>
      <c r="U77" s="3"/>
      <c r="V77" s="103" t="s">
        <v>59</v>
      </c>
      <c r="W77" s="104"/>
      <c r="X77" s="104"/>
      <c r="Y77" s="104"/>
      <c r="Z77" s="104"/>
      <c r="AA77" s="104"/>
      <c r="AB77" s="104"/>
      <c r="AC77" s="104"/>
      <c r="AD77" s="104"/>
      <c r="AE77" s="104"/>
      <c r="AF77" s="104"/>
      <c r="AG77" s="104"/>
      <c r="AH77" s="104"/>
      <c r="AI77" s="105"/>
      <c r="AJ77" s="38"/>
      <c r="AK77" s="129"/>
      <c r="AL77" s="130"/>
      <c r="AM77" s="130"/>
      <c r="AN77" s="130"/>
      <c r="AO77" s="130"/>
      <c r="AP77" s="131"/>
    </row>
    <row r="78" spans="1:42" s="2" customFormat="1" ht="23.25" customHeight="1">
      <c r="S78" s="3"/>
      <c r="T78" s="3"/>
      <c r="U78" s="3"/>
      <c r="V78" s="100" t="s">
        <v>60</v>
      </c>
      <c r="W78" s="101"/>
      <c r="X78" s="101"/>
      <c r="Y78" s="101"/>
      <c r="Z78" s="101"/>
      <c r="AA78" s="101"/>
      <c r="AB78" s="101"/>
      <c r="AC78" s="101"/>
      <c r="AD78" s="101"/>
      <c r="AE78" s="101"/>
      <c r="AF78" s="101"/>
      <c r="AG78" s="101"/>
      <c r="AH78" s="101"/>
      <c r="AI78" s="102"/>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117"/>
      <c r="T79" s="117"/>
      <c r="U79" s="3"/>
      <c r="V79" s="100"/>
      <c r="W79" s="101"/>
      <c r="X79" s="101"/>
      <c r="Y79" s="101"/>
      <c r="Z79" s="101"/>
      <c r="AA79" s="101"/>
      <c r="AB79" s="101"/>
      <c r="AC79" s="101"/>
      <c r="AD79" s="101"/>
      <c r="AE79" s="101"/>
      <c r="AF79" s="101"/>
      <c r="AG79" s="101"/>
      <c r="AH79" s="101"/>
      <c r="AI79" s="102"/>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120"/>
      <c r="T80" s="120"/>
      <c r="U80" s="3"/>
      <c r="V80" s="100"/>
      <c r="W80" s="101"/>
      <c r="X80" s="101"/>
      <c r="Y80" s="101"/>
      <c r="Z80" s="101"/>
      <c r="AA80" s="101"/>
      <c r="AB80" s="101"/>
      <c r="AC80" s="101"/>
      <c r="AD80" s="101"/>
      <c r="AE80" s="101"/>
      <c r="AF80" s="101"/>
      <c r="AG80" s="101"/>
      <c r="AH80" s="101"/>
      <c r="AI80" s="102"/>
      <c r="AJ80" s="36"/>
      <c r="AK80" s="118" t="s">
        <v>26</v>
      </c>
      <c r="AL80" s="119"/>
      <c r="AM80" s="119"/>
      <c r="AN80" s="76">
        <v>0</v>
      </c>
      <c r="AO80" s="76">
        <v>0</v>
      </c>
      <c r="AP80" s="75">
        <v>0</v>
      </c>
    </row>
    <row r="81" spans="1:44" ht="25.5" customHeight="1">
      <c r="A81" s="34" t="s">
        <v>85</v>
      </c>
      <c r="V81" s="100"/>
      <c r="W81" s="101"/>
      <c r="X81" s="101"/>
      <c r="Y81" s="101"/>
      <c r="Z81" s="101"/>
      <c r="AA81" s="101"/>
      <c r="AB81" s="101"/>
      <c r="AC81" s="101"/>
      <c r="AD81" s="101"/>
      <c r="AE81" s="101"/>
      <c r="AF81" s="101"/>
      <c r="AG81" s="101"/>
      <c r="AH81" s="101"/>
      <c r="AI81" s="102"/>
      <c r="AJ81" s="36"/>
      <c r="AK81" s="118" t="s">
        <v>27</v>
      </c>
      <c r="AL81" s="119"/>
      <c r="AM81" s="119"/>
      <c r="AN81" s="76">
        <v>0</v>
      </c>
      <c r="AO81" s="76">
        <v>0</v>
      </c>
      <c r="AP81" s="75">
        <v>0</v>
      </c>
    </row>
    <row r="82" spans="1:44" ht="25.5" customHeight="1" thickBot="1">
      <c r="V82" s="103" t="s">
        <v>61</v>
      </c>
      <c r="W82" s="104"/>
      <c r="X82" s="104"/>
      <c r="Y82" s="104"/>
      <c r="Z82" s="104"/>
      <c r="AA82" s="104"/>
      <c r="AB82" s="104"/>
      <c r="AC82" s="104"/>
      <c r="AD82" s="104"/>
      <c r="AE82" s="104"/>
      <c r="AF82" s="104"/>
      <c r="AG82" s="104"/>
      <c r="AH82" s="104"/>
      <c r="AI82" s="105"/>
      <c r="AJ82" s="38"/>
      <c r="AK82" s="111" t="s">
        <v>28</v>
      </c>
      <c r="AL82" s="112"/>
      <c r="AM82" s="112"/>
      <c r="AN82" s="77">
        <v>0</v>
      </c>
      <c r="AO82" s="77">
        <v>0</v>
      </c>
      <c r="AP82" s="78">
        <v>0</v>
      </c>
      <c r="AQ82" s="13"/>
      <c r="AR82" s="13"/>
    </row>
    <row r="83" spans="1:44" ht="15" customHeight="1">
      <c r="V83" s="100" t="s">
        <v>62</v>
      </c>
      <c r="W83" s="101"/>
      <c r="X83" s="101"/>
      <c r="Y83" s="101"/>
      <c r="Z83" s="101"/>
      <c r="AA83" s="101"/>
      <c r="AB83" s="101"/>
      <c r="AC83" s="101"/>
      <c r="AD83" s="101"/>
      <c r="AE83" s="101"/>
      <c r="AF83" s="101"/>
      <c r="AG83" s="101"/>
      <c r="AH83" s="101"/>
      <c r="AI83" s="102"/>
      <c r="AJ83" s="36"/>
      <c r="AK83" s="10"/>
      <c r="AL83" s="10"/>
      <c r="AM83" s="10"/>
      <c r="AN83" s="10"/>
      <c r="AO83" s="10"/>
      <c r="AP83" s="10"/>
      <c r="AQ83" s="10"/>
      <c r="AR83" s="10"/>
    </row>
    <row r="84" spans="1:44">
      <c r="V84" s="100"/>
      <c r="W84" s="101"/>
      <c r="X84" s="101"/>
      <c r="Y84" s="101"/>
      <c r="Z84" s="101"/>
      <c r="AA84" s="101"/>
      <c r="AB84" s="101"/>
      <c r="AC84" s="101"/>
      <c r="AD84" s="101"/>
      <c r="AE84" s="101"/>
      <c r="AF84" s="101"/>
      <c r="AG84" s="101"/>
      <c r="AH84" s="101"/>
      <c r="AI84" s="102"/>
      <c r="AJ84" s="36"/>
      <c r="AQ84" s="14"/>
      <c r="AR84" s="14"/>
    </row>
    <row r="85" spans="1:44" ht="15.75" thickBot="1">
      <c r="V85" s="100"/>
      <c r="W85" s="101"/>
      <c r="X85" s="101"/>
      <c r="Y85" s="101"/>
      <c r="Z85" s="101"/>
      <c r="AA85" s="101"/>
      <c r="AB85" s="101"/>
      <c r="AC85" s="101"/>
      <c r="AD85" s="101"/>
      <c r="AE85" s="101"/>
      <c r="AF85" s="101"/>
      <c r="AG85" s="101"/>
      <c r="AH85" s="101"/>
      <c r="AI85" s="102"/>
      <c r="AJ85" s="36"/>
      <c r="AK85" s="113" t="s">
        <v>108</v>
      </c>
      <c r="AL85" s="113"/>
      <c r="AM85" s="113"/>
      <c r="AN85" s="113"/>
      <c r="AO85" s="113"/>
      <c r="AP85" s="113"/>
      <c r="AQ85" s="15"/>
      <c r="AR85" s="15"/>
    </row>
    <row r="86" spans="1:44" ht="15" customHeight="1">
      <c r="V86" s="103" t="s">
        <v>63</v>
      </c>
      <c r="W86" s="104"/>
      <c r="X86" s="104"/>
      <c r="Y86" s="104"/>
      <c r="Z86" s="104"/>
      <c r="AA86" s="104"/>
      <c r="AB86" s="104"/>
      <c r="AC86" s="104"/>
      <c r="AD86" s="104"/>
      <c r="AE86" s="104"/>
      <c r="AF86" s="104"/>
      <c r="AG86" s="104"/>
      <c r="AH86" s="104"/>
      <c r="AI86" s="105"/>
      <c r="AJ86" s="38"/>
      <c r="AK86" s="114" t="s">
        <v>72</v>
      </c>
      <c r="AL86" s="114"/>
      <c r="AM86" s="114"/>
      <c r="AN86" s="114"/>
      <c r="AO86" s="114"/>
      <c r="AP86" s="114"/>
    </row>
    <row r="87" spans="1:44" ht="15" customHeight="1">
      <c r="V87" s="100" t="s">
        <v>64</v>
      </c>
      <c r="W87" s="101"/>
      <c r="X87" s="101"/>
      <c r="Y87" s="101"/>
      <c r="Z87" s="101"/>
      <c r="AA87" s="101"/>
      <c r="AB87" s="101"/>
      <c r="AC87" s="101"/>
      <c r="AD87" s="101"/>
      <c r="AE87" s="101"/>
      <c r="AF87" s="101"/>
      <c r="AG87" s="101"/>
      <c r="AH87" s="101"/>
      <c r="AI87" s="102"/>
      <c r="AJ87" s="36"/>
    </row>
    <row r="88" spans="1:44">
      <c r="V88" s="100"/>
      <c r="W88" s="101"/>
      <c r="X88" s="101"/>
      <c r="Y88" s="101"/>
      <c r="Z88" s="101"/>
      <c r="AA88" s="101"/>
      <c r="AB88" s="101"/>
      <c r="AC88" s="101"/>
      <c r="AD88" s="101"/>
      <c r="AE88" s="101"/>
      <c r="AF88" s="101"/>
      <c r="AG88" s="101"/>
      <c r="AH88" s="101"/>
      <c r="AI88" s="102"/>
      <c r="AJ88" s="36"/>
      <c r="AK88" s="12" t="s">
        <v>73</v>
      </c>
    </row>
    <row r="89" spans="1:44">
      <c r="V89" s="100"/>
      <c r="W89" s="101"/>
      <c r="X89" s="101"/>
      <c r="Y89" s="101"/>
      <c r="Z89" s="101"/>
      <c r="AA89" s="101"/>
      <c r="AB89" s="101"/>
      <c r="AC89" s="101"/>
      <c r="AD89" s="101"/>
      <c r="AE89" s="101"/>
      <c r="AF89" s="101"/>
      <c r="AG89" s="101"/>
      <c r="AH89" s="101"/>
      <c r="AI89" s="102"/>
      <c r="AJ89" s="36"/>
    </row>
    <row r="90" spans="1:44" ht="15" customHeight="1">
      <c r="V90" s="103" t="s">
        <v>65</v>
      </c>
      <c r="W90" s="104"/>
      <c r="X90" s="104"/>
      <c r="Y90" s="104"/>
      <c r="Z90" s="104"/>
      <c r="AA90" s="104"/>
      <c r="AB90" s="104"/>
      <c r="AC90" s="104"/>
      <c r="AD90" s="104"/>
      <c r="AE90" s="104"/>
      <c r="AF90" s="104"/>
      <c r="AG90" s="104"/>
      <c r="AH90" s="104"/>
      <c r="AI90" s="105"/>
      <c r="AJ90" s="38"/>
    </row>
    <row r="91" spans="1:44" ht="15.75" customHeight="1" thickBot="1">
      <c r="V91" s="100" t="s">
        <v>66</v>
      </c>
      <c r="W91" s="101"/>
      <c r="X91" s="101"/>
      <c r="Y91" s="101"/>
      <c r="Z91" s="101"/>
      <c r="AA91" s="101"/>
      <c r="AB91" s="101"/>
      <c r="AC91" s="101"/>
      <c r="AD91" s="101"/>
      <c r="AE91" s="101"/>
      <c r="AF91" s="101"/>
      <c r="AG91" s="101"/>
      <c r="AH91" s="101"/>
      <c r="AI91" s="102"/>
      <c r="AJ91" s="36"/>
      <c r="AK91" s="106" t="s">
        <v>105</v>
      </c>
      <c r="AL91" s="106"/>
      <c r="AM91" s="106"/>
      <c r="AN91" s="106"/>
      <c r="AO91" s="106"/>
      <c r="AP91" s="106"/>
      <c r="AQ91" s="16"/>
    </row>
    <row r="92" spans="1:44">
      <c r="V92" s="32"/>
      <c r="W92" s="13"/>
      <c r="X92" s="13"/>
      <c r="Y92" s="13"/>
      <c r="Z92" s="13"/>
      <c r="AA92" s="13"/>
      <c r="AB92" s="13"/>
      <c r="AC92" s="13"/>
      <c r="AD92" s="13"/>
      <c r="AE92" s="13"/>
      <c r="AF92" s="13"/>
      <c r="AG92" s="13"/>
      <c r="AH92" s="13"/>
      <c r="AI92" s="33"/>
      <c r="AJ92" s="13"/>
      <c r="AK92" s="107" t="s">
        <v>101</v>
      </c>
      <c r="AL92" s="107"/>
      <c r="AM92" s="107"/>
      <c r="AN92" s="107"/>
      <c r="AO92" s="107"/>
      <c r="AP92" s="107"/>
    </row>
    <row r="93" spans="1:44" ht="14.25" customHeight="1">
      <c r="V93" s="108" t="s">
        <v>67</v>
      </c>
      <c r="W93" s="109"/>
      <c r="X93" s="109"/>
      <c r="Y93" s="109"/>
      <c r="Z93" s="109"/>
      <c r="AA93" s="109"/>
      <c r="AB93" s="109"/>
      <c r="AC93" s="109"/>
      <c r="AD93" s="109"/>
      <c r="AE93" s="109"/>
      <c r="AF93" s="109"/>
      <c r="AG93" s="109"/>
      <c r="AH93" s="109"/>
      <c r="AI93" s="110"/>
      <c r="AJ93" s="35"/>
    </row>
    <row r="94" spans="1:44" ht="11.25" customHeight="1">
      <c r="V94" s="91" t="s">
        <v>68</v>
      </c>
      <c r="W94" s="92"/>
      <c r="X94" s="92"/>
      <c r="Y94" s="92"/>
      <c r="Z94" s="92"/>
      <c r="AA94" s="92"/>
      <c r="AB94" s="92"/>
      <c r="AC94" s="92"/>
      <c r="AD94" s="92"/>
      <c r="AE94" s="92"/>
      <c r="AF94" s="92"/>
      <c r="AG94" s="92"/>
      <c r="AH94" s="92"/>
      <c r="AI94" s="93"/>
      <c r="AJ94" s="11"/>
    </row>
    <row r="95" spans="1:44" ht="10.5" customHeight="1">
      <c r="V95" s="91" t="s">
        <v>69</v>
      </c>
      <c r="W95" s="92"/>
      <c r="X95" s="92"/>
      <c r="Y95" s="92"/>
      <c r="Z95" s="92"/>
      <c r="AA95" s="92"/>
      <c r="AB95" s="92"/>
      <c r="AC95" s="92"/>
      <c r="AD95" s="92"/>
      <c r="AE95" s="92"/>
      <c r="AF95" s="92"/>
      <c r="AG95" s="92"/>
      <c r="AH95" s="92"/>
      <c r="AI95" s="93"/>
      <c r="AJ95" s="11"/>
    </row>
    <row r="96" spans="1:44" ht="12" customHeight="1">
      <c r="V96" s="91" t="s">
        <v>70</v>
      </c>
      <c r="W96" s="92"/>
      <c r="X96" s="92"/>
      <c r="Y96" s="92"/>
      <c r="Z96" s="92"/>
      <c r="AA96" s="92"/>
      <c r="AB96" s="92"/>
      <c r="AC96" s="92"/>
      <c r="AD96" s="92"/>
      <c r="AE96" s="92"/>
      <c r="AF96" s="92"/>
      <c r="AG96" s="92"/>
      <c r="AH96" s="92"/>
      <c r="AI96" s="93"/>
      <c r="AJ96" s="11"/>
    </row>
    <row r="97" spans="22:36" ht="12" customHeight="1" thickBot="1">
      <c r="V97" s="94" t="s">
        <v>71</v>
      </c>
      <c r="W97" s="95"/>
      <c r="X97" s="95"/>
      <c r="Y97" s="95"/>
      <c r="Z97" s="95"/>
      <c r="AA97" s="95"/>
      <c r="AB97" s="95"/>
      <c r="AC97" s="95"/>
      <c r="AD97" s="95"/>
      <c r="AE97" s="95"/>
      <c r="AF97" s="95"/>
      <c r="AG97" s="95"/>
      <c r="AH97" s="95"/>
      <c r="AI97" s="96"/>
      <c r="AJ97" s="11"/>
    </row>
  </sheetData>
  <mergeCells count="126">
    <mergeCell ref="AM13:AP13"/>
    <mergeCell ref="AM14:AP14"/>
    <mergeCell ref="V97:AI97"/>
    <mergeCell ref="A68:B68"/>
    <mergeCell ref="O8:T8"/>
    <mergeCell ref="E8:N8"/>
    <mergeCell ref="P4:T4"/>
    <mergeCell ref="P6:T6"/>
    <mergeCell ref="AD6:AG6"/>
    <mergeCell ref="Z6:AC6"/>
    <mergeCell ref="U4:Y4"/>
    <mergeCell ref="U6:Y6"/>
    <mergeCell ref="AB4:AD4"/>
    <mergeCell ref="E4:N4"/>
    <mergeCell ref="E6:N6"/>
    <mergeCell ref="A28:B28"/>
    <mergeCell ref="A65:B65"/>
    <mergeCell ref="A66:B66"/>
    <mergeCell ref="C10:AJ11"/>
    <mergeCell ref="B10:B11"/>
    <mergeCell ref="A10:A13"/>
    <mergeCell ref="B12:B13"/>
    <mergeCell ref="O71:P72"/>
    <mergeCell ref="B71:B72"/>
    <mergeCell ref="E73:N73"/>
    <mergeCell ref="E76:N76"/>
    <mergeCell ref="A79:T79"/>
    <mergeCell ref="V73:AI73"/>
    <mergeCell ref="V78:AI81"/>
    <mergeCell ref="V86:AI86"/>
    <mergeCell ref="V96:AI96"/>
    <mergeCell ref="A2:AP2"/>
    <mergeCell ref="AE4:AK4"/>
    <mergeCell ref="AL4:AM4"/>
    <mergeCell ref="AN4:AP4"/>
    <mergeCell ref="AL6:AP6"/>
    <mergeCell ref="U8:AJ8"/>
    <mergeCell ref="AL8:AP8"/>
    <mergeCell ref="AK10:AL12"/>
    <mergeCell ref="AM10:AP10"/>
    <mergeCell ref="AM11:AP11"/>
    <mergeCell ref="AM12:AP12"/>
    <mergeCell ref="AM15:AP15"/>
    <mergeCell ref="AM16:AP16"/>
    <mergeCell ref="AM17:AP17"/>
    <mergeCell ref="AM18:AP18"/>
    <mergeCell ref="AM19:AP19"/>
    <mergeCell ref="AM20:AP20"/>
    <mergeCell ref="AM21:AP21"/>
    <mergeCell ref="AM22:AP22"/>
    <mergeCell ref="AM23:AP23"/>
    <mergeCell ref="AM36:AP36"/>
    <mergeCell ref="AM37:AP37"/>
    <mergeCell ref="AM38:AP38"/>
    <mergeCell ref="AM39:AP39"/>
    <mergeCell ref="AM40:AP40"/>
    <mergeCell ref="AM41:AP41"/>
    <mergeCell ref="AM42:AP42"/>
    <mergeCell ref="AM24:AP24"/>
    <mergeCell ref="AM25:AP25"/>
    <mergeCell ref="AM27:AP27"/>
    <mergeCell ref="AM28:AP28"/>
    <mergeCell ref="AM29:AP29"/>
    <mergeCell ref="AM30:AP30"/>
    <mergeCell ref="AM31:AP31"/>
    <mergeCell ref="AM32:AP32"/>
    <mergeCell ref="AM33:AP33"/>
    <mergeCell ref="B76:B77"/>
    <mergeCell ref="O76:P77"/>
    <mergeCell ref="AK76:AM76"/>
    <mergeCell ref="E77:N77"/>
    <mergeCell ref="V77:AI77"/>
    <mergeCell ref="AK77:AP77"/>
    <mergeCell ref="AM65:AP65"/>
    <mergeCell ref="AM66:AP66"/>
    <mergeCell ref="V68:AI68"/>
    <mergeCell ref="AL68:AM68"/>
    <mergeCell ref="AN68:AP68"/>
    <mergeCell ref="V69:AI70"/>
    <mergeCell ref="AL69:AM69"/>
    <mergeCell ref="AK70:AM70"/>
    <mergeCell ref="V71:AI72"/>
    <mergeCell ref="AK71:AM71"/>
    <mergeCell ref="AK72:AM72"/>
    <mergeCell ref="E74:N74"/>
    <mergeCell ref="O73:P74"/>
    <mergeCell ref="B73:B74"/>
    <mergeCell ref="A69:T69"/>
    <mergeCell ref="A70:T70"/>
    <mergeCell ref="E71:N71"/>
    <mergeCell ref="E72:N72"/>
    <mergeCell ref="V94:AI94"/>
    <mergeCell ref="V95:AI95"/>
    <mergeCell ref="AK78:AM78"/>
    <mergeCell ref="AK79:AM79"/>
    <mergeCell ref="A80:T80"/>
    <mergeCell ref="AK80:AM80"/>
    <mergeCell ref="AK81:AM81"/>
    <mergeCell ref="V82:AI82"/>
    <mergeCell ref="AK82:AM82"/>
    <mergeCell ref="V83:AI85"/>
    <mergeCell ref="AK85:AP85"/>
    <mergeCell ref="AG14:AG66"/>
    <mergeCell ref="P14:P66"/>
    <mergeCell ref="AK86:AP86"/>
    <mergeCell ref="V87:AI89"/>
    <mergeCell ref="V90:AI90"/>
    <mergeCell ref="V91:AI91"/>
    <mergeCell ref="AK91:AP91"/>
    <mergeCell ref="AK92:AP92"/>
    <mergeCell ref="V93:AI93"/>
    <mergeCell ref="AK73:AM73"/>
    <mergeCell ref="V74:AI76"/>
    <mergeCell ref="AK74:AM74"/>
    <mergeCell ref="AK75:AM75"/>
    <mergeCell ref="AM43:AP43"/>
    <mergeCell ref="AM44:AP44"/>
    <mergeCell ref="AM45:AP45"/>
    <mergeCell ref="AM46:AP46"/>
    <mergeCell ref="AM47:AP47"/>
    <mergeCell ref="AM48:AP48"/>
    <mergeCell ref="AM49:AP49"/>
    <mergeCell ref="AM63:AP63"/>
    <mergeCell ref="AM64:AP64"/>
    <mergeCell ref="AM34:AP34"/>
    <mergeCell ref="AM35:AP35"/>
  </mergeCells>
  <pageMargins left="0.12" right="0.12" top="0.28000000000000003" bottom="0.12" header="0.15" footer="0.12"/>
  <pageSetup paperSize="9" scale="73" fitToHeight="0"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AX97"/>
  <sheetViews>
    <sheetView zoomScale="85" zoomScaleNormal="85" workbookViewId="0">
      <selection activeCell="C8" sqref="C8:L8"/>
    </sheetView>
  </sheetViews>
  <sheetFormatPr defaultRowHeight="15"/>
  <cols>
    <col min="1" max="1" width="4.140625" customWidth="1"/>
    <col min="2" max="2" width="33.1406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5" width="3.85546875" customWidth="1"/>
    <col min="36" max="36" width="9.5703125" customWidth="1"/>
    <col min="37" max="37" width="7.7109375" customWidth="1"/>
    <col min="38" max="38" width="5.5703125" customWidth="1"/>
  </cols>
  <sheetData>
    <row r="2" spans="1:50"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6"/>
      <c r="AQ2" s="6"/>
      <c r="AR2" s="6"/>
      <c r="AS2" s="6"/>
      <c r="AT2" s="6"/>
      <c r="AU2" s="6"/>
      <c r="AV2" s="6"/>
      <c r="AW2" s="6"/>
      <c r="AX2" s="6"/>
    </row>
    <row r="4" spans="1:50">
      <c r="B4" s="5" t="s">
        <v>37</v>
      </c>
      <c r="C4" s="166" t="s">
        <v>38</v>
      </c>
      <c r="D4" s="167"/>
      <c r="E4" s="167"/>
      <c r="F4" s="167"/>
      <c r="G4" s="167"/>
      <c r="H4" s="167"/>
      <c r="I4" s="167"/>
      <c r="J4" s="167"/>
      <c r="K4" s="167"/>
      <c r="L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8"/>
      <c r="AK4" s="170" t="s">
        <v>42</v>
      </c>
      <c r="AL4" s="171"/>
      <c r="AM4" s="166" t="s">
        <v>43</v>
      </c>
      <c r="AN4" s="167"/>
      <c r="AO4" s="168"/>
    </row>
    <row r="5" spans="1:50" ht="9.9499999999999993" customHeight="1">
      <c r="N5" s="5"/>
      <c r="O5" s="5"/>
      <c r="P5" s="5"/>
      <c r="Q5" s="5"/>
      <c r="R5" s="5"/>
      <c r="AJ5" s="5"/>
      <c r="AK5" s="5"/>
      <c r="AL5" s="5"/>
      <c r="AM5" s="5"/>
      <c r="AN5" s="5"/>
      <c r="AO5" s="5"/>
    </row>
    <row r="6" spans="1:50">
      <c r="B6" s="5" t="s">
        <v>40</v>
      </c>
      <c r="C6" s="166" t="s">
        <v>39</v>
      </c>
      <c r="D6" s="167"/>
      <c r="E6" s="167"/>
      <c r="F6" s="167"/>
      <c r="G6" s="167"/>
      <c r="H6" s="167"/>
      <c r="I6" s="167"/>
      <c r="J6" s="167"/>
      <c r="K6" s="167"/>
      <c r="L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5"/>
      <c r="AK6" s="166" t="s">
        <v>111</v>
      </c>
      <c r="AL6" s="167"/>
      <c r="AM6" s="167"/>
      <c r="AN6" s="167"/>
      <c r="AO6" s="168"/>
    </row>
    <row r="7" spans="1:50" ht="9.9499999999999993" customHeight="1">
      <c r="N7" s="5"/>
      <c r="O7" s="5"/>
      <c r="P7" s="5"/>
      <c r="Q7" s="5"/>
      <c r="R7" s="5"/>
      <c r="AJ7" s="5"/>
      <c r="AK7" s="5"/>
      <c r="AL7" s="5"/>
      <c r="AM7" s="5"/>
      <c r="AN7" s="5"/>
      <c r="AO7" s="5"/>
    </row>
    <row r="8" spans="1:50">
      <c r="B8" s="5" t="s">
        <v>41</v>
      </c>
      <c r="C8" s="166" t="s">
        <v>110</v>
      </c>
      <c r="D8" s="167"/>
      <c r="E8" s="167"/>
      <c r="F8" s="167"/>
      <c r="G8" s="167"/>
      <c r="H8" s="167"/>
      <c r="I8" s="167"/>
      <c r="J8" s="167"/>
      <c r="K8" s="167"/>
      <c r="L8" s="168"/>
      <c r="M8" s="169" t="s">
        <v>49</v>
      </c>
      <c r="N8" s="170"/>
      <c r="O8" s="170"/>
      <c r="P8" s="170"/>
      <c r="Q8" s="170"/>
      <c r="R8" s="171"/>
      <c r="S8" s="172"/>
      <c r="T8" s="151"/>
      <c r="U8" s="151"/>
      <c r="V8" s="151"/>
      <c r="W8" s="151"/>
      <c r="X8" s="151"/>
      <c r="Y8" s="151"/>
      <c r="Z8" s="151"/>
      <c r="AA8" s="151"/>
      <c r="AB8" s="151"/>
      <c r="AC8" s="151"/>
      <c r="AD8" s="151"/>
      <c r="AE8" s="151"/>
      <c r="AF8" s="151"/>
      <c r="AG8" s="151"/>
      <c r="AH8" s="151"/>
      <c r="AI8" s="151"/>
      <c r="AJ8" s="26"/>
      <c r="AK8" s="166" t="s">
        <v>90</v>
      </c>
      <c r="AL8" s="167"/>
      <c r="AM8" s="167"/>
      <c r="AN8" s="167"/>
      <c r="AO8" s="168"/>
    </row>
    <row r="9" spans="1:50" ht="15.75" thickBot="1"/>
    <row r="10" spans="1:50" ht="13.5" customHeight="1">
      <c r="A10" s="174" t="s">
        <v>0</v>
      </c>
      <c r="B10" s="177" t="s">
        <v>1</v>
      </c>
      <c r="C10" s="179" t="s">
        <v>30</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81" t="s">
        <v>11</v>
      </c>
      <c r="AK10" s="149"/>
      <c r="AL10" s="186" t="s">
        <v>29</v>
      </c>
      <c r="AM10" s="187"/>
      <c r="AN10" s="187"/>
      <c r="AO10" s="188"/>
    </row>
    <row r="11" spans="1:50" ht="25.5" customHeight="1" thickBot="1">
      <c r="A11" s="175"/>
      <c r="B11" s="178"/>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2"/>
      <c r="AK11" s="183"/>
      <c r="AL11" s="158" t="s">
        <v>31</v>
      </c>
      <c r="AM11" s="159"/>
      <c r="AN11" s="159"/>
      <c r="AO11" s="160"/>
    </row>
    <row r="12" spans="1:50" ht="25.5" customHeight="1" thickBot="1">
      <c r="A12" s="175"/>
      <c r="B12" s="161" t="s">
        <v>2</v>
      </c>
      <c r="C12" s="60"/>
      <c r="D12" s="61">
        <v>1</v>
      </c>
      <c r="E12" s="61">
        <v>2</v>
      </c>
      <c r="F12" s="61">
        <v>3</v>
      </c>
      <c r="G12" s="61">
        <v>4</v>
      </c>
      <c r="H12" s="61">
        <v>5</v>
      </c>
      <c r="I12" s="62"/>
      <c r="J12" s="61">
        <v>7</v>
      </c>
      <c r="K12" s="61">
        <v>8</v>
      </c>
      <c r="L12" s="61">
        <v>9</v>
      </c>
      <c r="M12" s="61">
        <v>10</v>
      </c>
      <c r="N12" s="61">
        <v>11</v>
      </c>
      <c r="O12" s="61">
        <v>12</v>
      </c>
      <c r="P12" s="63"/>
      <c r="Q12" s="61">
        <v>14</v>
      </c>
      <c r="R12" s="61">
        <v>15</v>
      </c>
      <c r="S12" s="61">
        <v>16</v>
      </c>
      <c r="T12" s="61">
        <v>17</v>
      </c>
      <c r="U12" s="61">
        <v>18</v>
      </c>
      <c r="V12" s="61">
        <v>19</v>
      </c>
      <c r="W12" s="63"/>
      <c r="X12" s="61">
        <v>21</v>
      </c>
      <c r="Y12" s="61">
        <v>22</v>
      </c>
      <c r="Z12" s="61">
        <v>23</v>
      </c>
      <c r="AA12" s="61">
        <v>24</v>
      </c>
      <c r="AB12" s="61">
        <v>25</v>
      </c>
      <c r="AC12" s="61">
        <v>26</v>
      </c>
      <c r="AD12" s="63"/>
      <c r="AE12" s="61">
        <v>28</v>
      </c>
      <c r="AF12" s="61">
        <v>29</v>
      </c>
      <c r="AG12" s="61">
        <v>30</v>
      </c>
      <c r="AH12" s="61"/>
      <c r="AI12" s="89"/>
      <c r="AJ12" s="184"/>
      <c r="AK12" s="185"/>
      <c r="AL12" s="158" t="s">
        <v>32</v>
      </c>
      <c r="AM12" s="159"/>
      <c r="AN12" s="159"/>
      <c r="AO12" s="160"/>
    </row>
    <row r="13" spans="1:50" ht="27" customHeight="1" thickBot="1">
      <c r="A13" s="176"/>
      <c r="B13" s="162"/>
      <c r="C13" s="65" t="s">
        <v>3</v>
      </c>
      <c r="D13" s="66"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90" t="s">
        <v>7</v>
      </c>
      <c r="AJ13" s="72" t="s">
        <v>9</v>
      </c>
      <c r="AK13" s="73" t="s">
        <v>10</v>
      </c>
      <c r="AL13" s="163" t="s">
        <v>33</v>
      </c>
      <c r="AM13" s="164"/>
      <c r="AN13" s="164"/>
      <c r="AO13" s="165"/>
    </row>
    <row r="14" spans="1:50" ht="14.1" customHeight="1">
      <c r="A14" s="49">
        <v>1</v>
      </c>
      <c r="B14" s="51"/>
      <c r="C14" s="85"/>
      <c r="D14" s="85" t="s">
        <v>107</v>
      </c>
      <c r="E14" s="85" t="s">
        <v>86</v>
      </c>
      <c r="F14" s="85"/>
      <c r="G14" s="43"/>
      <c r="H14" s="43"/>
      <c r="I14" s="22"/>
      <c r="J14" s="43"/>
      <c r="K14" s="43"/>
      <c r="L14" s="43"/>
      <c r="M14" s="43"/>
      <c r="N14" s="43"/>
      <c r="O14" s="43"/>
      <c r="P14" s="22"/>
      <c r="Q14" s="43"/>
      <c r="R14" s="43"/>
      <c r="S14" s="43"/>
      <c r="T14" s="43"/>
      <c r="U14" s="43"/>
      <c r="V14" s="43"/>
      <c r="W14" s="22"/>
      <c r="X14" s="43"/>
      <c r="Y14" s="43"/>
      <c r="Z14" s="43"/>
      <c r="AA14" s="43"/>
      <c r="AB14" s="43"/>
      <c r="AC14" s="43"/>
      <c r="AD14" s="22"/>
      <c r="AE14" s="43"/>
      <c r="AF14" s="43"/>
      <c r="AG14" s="43"/>
      <c r="AH14" s="43"/>
      <c r="AI14" s="43"/>
      <c r="AJ14" s="46">
        <f t="shared" ref="AJ14:AJ27" si="0">COUNTIF(C14:AI14,"X")</f>
        <v>1</v>
      </c>
      <c r="AK14" s="46">
        <f t="shared" ref="AK14:AK27" si="1">COUNTIF(C14:AI14,"T")</f>
        <v>1</v>
      </c>
      <c r="AL14" s="153"/>
      <c r="AM14" s="154"/>
      <c r="AN14" s="154"/>
      <c r="AO14" s="155"/>
    </row>
    <row r="15" spans="1:50"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43"/>
      <c r="AF15" s="43"/>
      <c r="AG15" s="43"/>
      <c r="AH15" s="43"/>
      <c r="AI15" s="43"/>
      <c r="AJ15" s="46">
        <f t="shared" si="0"/>
        <v>0</v>
      </c>
      <c r="AK15" s="46">
        <f t="shared" si="1"/>
        <v>0</v>
      </c>
      <c r="AL15" s="150"/>
      <c r="AM15" s="151"/>
      <c r="AN15" s="151"/>
      <c r="AO15" s="152"/>
    </row>
    <row r="16" spans="1:50"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43"/>
      <c r="AF16" s="43"/>
      <c r="AG16" s="43"/>
      <c r="AH16" s="43"/>
      <c r="AI16" s="43"/>
      <c r="AJ16" s="46">
        <f t="shared" si="0"/>
        <v>0</v>
      </c>
      <c r="AK16" s="46">
        <f t="shared" si="1"/>
        <v>0</v>
      </c>
      <c r="AL16" s="150"/>
      <c r="AM16" s="151"/>
      <c r="AN16" s="151"/>
      <c r="AO16" s="152"/>
    </row>
    <row r="17" spans="1:41"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43"/>
      <c r="AF17" s="43"/>
      <c r="AG17" s="43"/>
      <c r="AH17" s="43"/>
      <c r="AI17" s="43"/>
      <c r="AJ17" s="46">
        <f t="shared" si="0"/>
        <v>0</v>
      </c>
      <c r="AK17" s="46">
        <f t="shared" si="1"/>
        <v>0</v>
      </c>
      <c r="AL17" s="150"/>
      <c r="AM17" s="151"/>
      <c r="AN17" s="151"/>
      <c r="AO17" s="152"/>
    </row>
    <row r="18" spans="1:41"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43"/>
      <c r="AF18" s="43"/>
      <c r="AG18" s="43"/>
      <c r="AH18" s="43"/>
      <c r="AI18" s="43"/>
      <c r="AJ18" s="46">
        <f t="shared" si="0"/>
        <v>0</v>
      </c>
      <c r="AK18" s="46">
        <f t="shared" si="1"/>
        <v>0</v>
      </c>
      <c r="AL18" s="150"/>
      <c r="AM18" s="151"/>
      <c r="AN18" s="151"/>
      <c r="AO18" s="152"/>
    </row>
    <row r="19" spans="1:41"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43"/>
      <c r="AF19" s="43"/>
      <c r="AG19" s="43"/>
      <c r="AH19" s="43"/>
      <c r="AI19" s="43"/>
      <c r="AJ19" s="46">
        <f t="shared" si="0"/>
        <v>0</v>
      </c>
      <c r="AK19" s="46">
        <f t="shared" si="1"/>
        <v>0</v>
      </c>
      <c r="AL19" s="150"/>
      <c r="AM19" s="151"/>
      <c r="AN19" s="151"/>
      <c r="AO19" s="152"/>
    </row>
    <row r="20" spans="1:41"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43"/>
      <c r="AF20" s="43"/>
      <c r="AG20" s="43"/>
      <c r="AH20" s="43"/>
      <c r="AI20" s="43"/>
      <c r="AJ20" s="46">
        <f t="shared" si="0"/>
        <v>0</v>
      </c>
      <c r="AK20" s="46">
        <f t="shared" si="1"/>
        <v>0</v>
      </c>
      <c r="AL20" s="150"/>
      <c r="AM20" s="151"/>
      <c r="AN20" s="151"/>
      <c r="AO20" s="152"/>
    </row>
    <row r="21" spans="1:41"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43"/>
      <c r="AF21" s="43"/>
      <c r="AG21" s="43"/>
      <c r="AH21" s="43"/>
      <c r="AI21" s="43"/>
      <c r="AJ21" s="46">
        <f t="shared" si="0"/>
        <v>0</v>
      </c>
      <c r="AK21" s="46">
        <f t="shared" si="1"/>
        <v>0</v>
      </c>
      <c r="AL21" s="150"/>
      <c r="AM21" s="151"/>
      <c r="AN21" s="151"/>
      <c r="AO21" s="152"/>
    </row>
    <row r="22" spans="1:41" ht="14.1" customHeight="1">
      <c r="A22" s="42">
        <v>9</v>
      </c>
      <c r="B22" s="52"/>
      <c r="C22" s="28"/>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43"/>
      <c r="AF22" s="43"/>
      <c r="AG22" s="43"/>
      <c r="AH22" s="43"/>
      <c r="AI22" s="43"/>
      <c r="AJ22" s="46">
        <f t="shared" si="0"/>
        <v>0</v>
      </c>
      <c r="AK22" s="46">
        <f t="shared" si="1"/>
        <v>0</v>
      </c>
      <c r="AL22" s="150"/>
      <c r="AM22" s="151"/>
      <c r="AN22" s="151"/>
      <c r="AO22" s="152"/>
    </row>
    <row r="23" spans="1:41" ht="14.1" customHeight="1">
      <c r="A23" s="42">
        <v>10</v>
      </c>
      <c r="B23" s="53"/>
      <c r="C23" s="28"/>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43"/>
      <c r="AF23" s="43"/>
      <c r="AG23" s="43"/>
      <c r="AH23" s="43"/>
      <c r="AI23" s="43"/>
      <c r="AJ23" s="46">
        <f t="shared" si="0"/>
        <v>0</v>
      </c>
      <c r="AK23" s="46">
        <f t="shared" si="1"/>
        <v>0</v>
      </c>
      <c r="AL23" s="150"/>
      <c r="AM23" s="151"/>
      <c r="AN23" s="151"/>
      <c r="AO23" s="152"/>
    </row>
    <row r="24" spans="1:41" ht="14.1" customHeight="1">
      <c r="A24" s="42">
        <v>11</v>
      </c>
      <c r="B24" s="53"/>
      <c r="C24" s="28"/>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43"/>
      <c r="AF24" s="43"/>
      <c r="AG24" s="43"/>
      <c r="AH24" s="43"/>
      <c r="AI24" s="43"/>
      <c r="AJ24" s="46">
        <f t="shared" si="0"/>
        <v>0</v>
      </c>
      <c r="AK24" s="46">
        <f t="shared" si="1"/>
        <v>0</v>
      </c>
      <c r="AL24" s="150"/>
      <c r="AM24" s="151"/>
      <c r="AN24" s="151"/>
      <c r="AO24" s="152"/>
    </row>
    <row r="25" spans="1:41" ht="14.1" customHeight="1">
      <c r="A25" s="42">
        <v>12</v>
      </c>
      <c r="B25" s="52"/>
      <c r="C25" s="28"/>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43"/>
      <c r="AF25" s="43"/>
      <c r="AG25" s="43"/>
      <c r="AH25" s="43"/>
      <c r="AI25" s="43"/>
      <c r="AJ25" s="46">
        <f t="shared" si="0"/>
        <v>0</v>
      </c>
      <c r="AK25" s="46">
        <f t="shared" si="1"/>
        <v>0</v>
      </c>
      <c r="AL25" s="150"/>
      <c r="AM25" s="151"/>
      <c r="AN25" s="151"/>
      <c r="AO25" s="152"/>
    </row>
    <row r="26" spans="1:41" ht="14.1" customHeight="1">
      <c r="A26" s="42">
        <v>13</v>
      </c>
      <c r="B26" s="54"/>
      <c r="C26" s="28"/>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43"/>
      <c r="AF26" s="43"/>
      <c r="AG26" s="43"/>
      <c r="AH26" s="43"/>
      <c r="AI26" s="43"/>
      <c r="AJ26" s="46">
        <f t="shared" si="0"/>
        <v>0</v>
      </c>
      <c r="AK26" s="46">
        <f t="shared" si="1"/>
        <v>0</v>
      </c>
      <c r="AL26" s="39"/>
      <c r="AM26" s="40"/>
      <c r="AN26" s="40"/>
      <c r="AO26" s="41"/>
    </row>
    <row r="27" spans="1:41" ht="14.1" customHeight="1" thickBot="1">
      <c r="A27" s="50">
        <v>14</v>
      </c>
      <c r="B27" s="55"/>
      <c r="C27" s="28"/>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43"/>
      <c r="AF27" s="43"/>
      <c r="AG27" s="43"/>
      <c r="AH27" s="43"/>
      <c r="AI27" s="43"/>
      <c r="AJ27" s="46">
        <f t="shared" si="0"/>
        <v>0</v>
      </c>
      <c r="AK27" s="46">
        <f t="shared" si="1"/>
        <v>0</v>
      </c>
      <c r="AL27" s="150"/>
      <c r="AM27" s="151"/>
      <c r="AN27" s="151"/>
      <c r="AO27" s="152"/>
    </row>
    <row r="28" spans="1:41" ht="15.75" thickBot="1">
      <c r="A28" s="156" t="s">
        <v>34</v>
      </c>
      <c r="B28" s="157"/>
      <c r="C28" s="48"/>
      <c r="D28" s="48">
        <f t="shared" ref="D28:H28" si="2">ROWS(D14:D27) - COUNTIF(D14:D27,"X")</f>
        <v>13</v>
      </c>
      <c r="E28" s="48">
        <f t="shared" si="2"/>
        <v>14</v>
      </c>
      <c r="F28" s="48">
        <f t="shared" si="2"/>
        <v>14</v>
      </c>
      <c r="G28" s="48">
        <f t="shared" si="2"/>
        <v>14</v>
      </c>
      <c r="H28" s="48">
        <f t="shared" si="2"/>
        <v>14</v>
      </c>
      <c r="I28" s="45"/>
      <c r="J28" s="48">
        <f t="shared" ref="J28:O28" si="3">ROWS(J14:J27) - COUNTIF(J14:J27,"X")</f>
        <v>14</v>
      </c>
      <c r="K28" s="48">
        <f t="shared" si="3"/>
        <v>14</v>
      </c>
      <c r="L28" s="48">
        <f t="shared" si="3"/>
        <v>14</v>
      </c>
      <c r="M28" s="48">
        <f t="shared" si="3"/>
        <v>14</v>
      </c>
      <c r="N28" s="48">
        <f t="shared" ref="N28" si="4">ROWS(N14:N27) - COUNTIF(N14:N27,"X")</f>
        <v>14</v>
      </c>
      <c r="O28" s="48">
        <f t="shared" si="3"/>
        <v>14</v>
      </c>
      <c r="P28" s="45"/>
      <c r="Q28" s="48">
        <f t="shared" ref="Q28:V28" si="5">ROWS(Q14:Q27) - COUNTIF(Q14:Q27,"X")</f>
        <v>14</v>
      </c>
      <c r="R28" s="48">
        <f t="shared" si="5"/>
        <v>14</v>
      </c>
      <c r="S28" s="48">
        <f t="shared" si="5"/>
        <v>14</v>
      </c>
      <c r="T28" s="48">
        <f t="shared" si="5"/>
        <v>14</v>
      </c>
      <c r="U28" s="48">
        <f t="shared" si="5"/>
        <v>14</v>
      </c>
      <c r="V28" s="48">
        <f t="shared" si="5"/>
        <v>14</v>
      </c>
      <c r="W28" s="45"/>
      <c r="X28" s="48">
        <f t="shared" ref="X28:AC28" si="6">ROWS(X14:X27) - COUNTIF(X14:X27,"X")</f>
        <v>14</v>
      </c>
      <c r="Y28" s="48">
        <f t="shared" si="6"/>
        <v>14</v>
      </c>
      <c r="Z28" s="48">
        <f t="shared" si="6"/>
        <v>14</v>
      </c>
      <c r="AA28" s="48">
        <f t="shared" si="6"/>
        <v>14</v>
      </c>
      <c r="AB28" s="48">
        <f t="shared" si="6"/>
        <v>14</v>
      </c>
      <c r="AC28" s="48">
        <f t="shared" si="6"/>
        <v>14</v>
      </c>
      <c r="AD28" s="45"/>
      <c r="AE28" s="48">
        <f t="shared" ref="AE28" si="7">ROWS(AE14:AE27) - COUNTIF(AE14:AE27,"X")</f>
        <v>14</v>
      </c>
      <c r="AF28" s="48">
        <f t="shared" ref="AF28:AG28" si="8">ROWS(AF14:AF27) - COUNTIF(AF14:AF27,"X")</f>
        <v>14</v>
      </c>
      <c r="AG28" s="48">
        <f t="shared" si="8"/>
        <v>14</v>
      </c>
      <c r="AH28" s="48"/>
      <c r="AI28" s="48"/>
      <c r="AJ28" s="47">
        <f>SUM(AJ14:AJ27)</f>
        <v>1</v>
      </c>
      <c r="AK28" s="47">
        <f>SUM(AK14:AK27)</f>
        <v>1</v>
      </c>
      <c r="AL28" s="141">
        <f>SUM(C28:AI28)</f>
        <v>363</v>
      </c>
      <c r="AM28" s="141"/>
      <c r="AN28" s="141"/>
      <c r="AO28" s="142"/>
    </row>
    <row r="29" spans="1:41" ht="14.1" customHeight="1">
      <c r="A29" s="49">
        <v>1</v>
      </c>
      <c r="B29" s="51"/>
      <c r="C29" s="27"/>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43"/>
      <c r="AF29" s="43"/>
      <c r="AG29" s="43"/>
      <c r="AH29" s="43"/>
      <c r="AI29" s="43"/>
      <c r="AJ29" s="46">
        <f t="shared" ref="AJ29:AJ64" si="9">COUNTIF(C29:AI29,"X")</f>
        <v>0</v>
      </c>
      <c r="AK29" s="46">
        <f t="shared" ref="AK29:AK64" si="10">COUNTIF(C29:AI29,"T")</f>
        <v>0</v>
      </c>
      <c r="AL29" s="153"/>
      <c r="AM29" s="154"/>
      <c r="AN29" s="154"/>
      <c r="AO29" s="155"/>
    </row>
    <row r="30" spans="1:41" ht="14.1" customHeight="1">
      <c r="A30" s="42">
        <v>2</v>
      </c>
      <c r="B30" s="52"/>
      <c r="C30" s="28"/>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43"/>
      <c r="AF30" s="43"/>
      <c r="AG30" s="43"/>
      <c r="AH30" s="43"/>
      <c r="AI30" s="43"/>
      <c r="AJ30" s="46">
        <f t="shared" si="9"/>
        <v>0</v>
      </c>
      <c r="AK30" s="46">
        <f t="shared" si="10"/>
        <v>0</v>
      </c>
      <c r="AL30" s="150"/>
      <c r="AM30" s="151"/>
      <c r="AN30" s="151"/>
      <c r="AO30" s="152"/>
    </row>
    <row r="31" spans="1:41" ht="14.1" customHeight="1">
      <c r="A31" s="42">
        <v>3</v>
      </c>
      <c r="B31" s="52"/>
      <c r="C31" s="28"/>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43"/>
      <c r="AF31" s="43"/>
      <c r="AG31" s="43"/>
      <c r="AH31" s="43"/>
      <c r="AI31" s="43"/>
      <c r="AJ31" s="46">
        <f t="shared" si="9"/>
        <v>0</v>
      </c>
      <c r="AK31" s="46">
        <f t="shared" si="10"/>
        <v>0</v>
      </c>
      <c r="AL31" s="150"/>
      <c r="AM31" s="151"/>
      <c r="AN31" s="151"/>
      <c r="AO31" s="152"/>
    </row>
    <row r="32" spans="1:41" ht="14.1" customHeight="1">
      <c r="A32" s="42">
        <v>4</v>
      </c>
      <c r="B32" s="52"/>
      <c r="C32" s="28"/>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43"/>
      <c r="AF32" s="43"/>
      <c r="AG32" s="43"/>
      <c r="AH32" s="43"/>
      <c r="AI32" s="43"/>
      <c r="AJ32" s="46">
        <f t="shared" si="9"/>
        <v>0</v>
      </c>
      <c r="AK32" s="46">
        <f t="shared" si="10"/>
        <v>0</v>
      </c>
      <c r="AL32" s="150"/>
      <c r="AM32" s="151"/>
      <c r="AN32" s="151"/>
      <c r="AO32" s="152"/>
    </row>
    <row r="33" spans="1:41" ht="14.1" customHeight="1">
      <c r="A33" s="42">
        <v>5</v>
      </c>
      <c r="B33" s="52"/>
      <c r="C33" s="28"/>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43"/>
      <c r="AF33" s="43"/>
      <c r="AG33" s="43"/>
      <c r="AH33" s="43"/>
      <c r="AI33" s="43"/>
      <c r="AJ33" s="46">
        <f t="shared" si="9"/>
        <v>0</v>
      </c>
      <c r="AK33" s="46">
        <f t="shared" si="10"/>
        <v>0</v>
      </c>
      <c r="AL33" s="150"/>
      <c r="AM33" s="151"/>
      <c r="AN33" s="151"/>
      <c r="AO33" s="152"/>
    </row>
    <row r="34" spans="1:41" ht="14.1" customHeight="1">
      <c r="A34" s="42">
        <v>6</v>
      </c>
      <c r="B34" s="52"/>
      <c r="C34" s="28"/>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43"/>
      <c r="AF34" s="43"/>
      <c r="AG34" s="43"/>
      <c r="AH34" s="43"/>
      <c r="AI34" s="43"/>
      <c r="AJ34" s="46">
        <f t="shared" si="9"/>
        <v>0</v>
      </c>
      <c r="AK34" s="46">
        <f t="shared" si="10"/>
        <v>0</v>
      </c>
      <c r="AL34" s="150"/>
      <c r="AM34" s="151"/>
      <c r="AN34" s="151"/>
      <c r="AO34" s="152"/>
    </row>
    <row r="35" spans="1:41" ht="14.1" customHeight="1">
      <c r="A35" s="42">
        <v>7</v>
      </c>
      <c r="B35" s="52"/>
      <c r="C35" s="28"/>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43"/>
      <c r="AF35" s="43"/>
      <c r="AG35" s="43"/>
      <c r="AH35" s="43"/>
      <c r="AI35" s="43"/>
      <c r="AJ35" s="46">
        <f t="shared" si="9"/>
        <v>0</v>
      </c>
      <c r="AK35" s="46">
        <f t="shared" si="10"/>
        <v>0</v>
      </c>
      <c r="AL35" s="150"/>
      <c r="AM35" s="151"/>
      <c r="AN35" s="151"/>
      <c r="AO35" s="152"/>
    </row>
    <row r="36" spans="1:41" ht="14.1" customHeight="1">
      <c r="A36" s="42">
        <v>8</v>
      </c>
      <c r="B36" s="52"/>
      <c r="C36" s="28"/>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43"/>
      <c r="AF36" s="43"/>
      <c r="AG36" s="43"/>
      <c r="AH36" s="43"/>
      <c r="AI36" s="43"/>
      <c r="AJ36" s="46">
        <f t="shared" si="9"/>
        <v>0</v>
      </c>
      <c r="AK36" s="46">
        <f t="shared" si="10"/>
        <v>0</v>
      </c>
      <c r="AL36" s="150"/>
      <c r="AM36" s="151"/>
      <c r="AN36" s="151"/>
      <c r="AO36" s="152"/>
    </row>
    <row r="37" spans="1:41" ht="14.1" customHeight="1">
      <c r="A37" s="42">
        <v>9</v>
      </c>
      <c r="B37" s="52"/>
      <c r="C37" s="28"/>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43"/>
      <c r="AF37" s="43"/>
      <c r="AG37" s="43"/>
      <c r="AH37" s="43"/>
      <c r="AI37" s="43"/>
      <c r="AJ37" s="46">
        <f t="shared" si="9"/>
        <v>0</v>
      </c>
      <c r="AK37" s="46">
        <f t="shared" si="10"/>
        <v>0</v>
      </c>
      <c r="AL37" s="150"/>
      <c r="AM37" s="151"/>
      <c r="AN37" s="151"/>
      <c r="AO37" s="152"/>
    </row>
    <row r="38" spans="1:41" ht="14.1" customHeight="1">
      <c r="A38" s="42">
        <v>10</v>
      </c>
      <c r="B38" s="52"/>
      <c r="C38" s="28"/>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43"/>
      <c r="AF38" s="43"/>
      <c r="AG38" s="43"/>
      <c r="AH38" s="43"/>
      <c r="AI38" s="43"/>
      <c r="AJ38" s="46">
        <f t="shared" si="9"/>
        <v>0</v>
      </c>
      <c r="AK38" s="46">
        <f t="shared" si="10"/>
        <v>0</v>
      </c>
      <c r="AL38" s="150"/>
      <c r="AM38" s="151"/>
      <c r="AN38" s="151"/>
      <c r="AO38" s="152"/>
    </row>
    <row r="39" spans="1:41" ht="14.1" customHeight="1">
      <c r="A39" s="42">
        <v>11</v>
      </c>
      <c r="B39" s="52"/>
      <c r="C39" s="28"/>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43"/>
      <c r="AF39" s="43"/>
      <c r="AG39" s="43"/>
      <c r="AH39" s="43"/>
      <c r="AI39" s="43"/>
      <c r="AJ39" s="46">
        <f t="shared" si="9"/>
        <v>0</v>
      </c>
      <c r="AK39" s="46">
        <f t="shared" si="10"/>
        <v>0</v>
      </c>
      <c r="AL39" s="150"/>
      <c r="AM39" s="151"/>
      <c r="AN39" s="151"/>
      <c r="AO39" s="152"/>
    </row>
    <row r="40" spans="1:41" ht="14.1" customHeight="1">
      <c r="A40" s="42">
        <v>12</v>
      </c>
      <c r="B40" s="52"/>
      <c r="C40" s="28"/>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43"/>
      <c r="AF40" s="43"/>
      <c r="AG40" s="43"/>
      <c r="AH40" s="43"/>
      <c r="AI40" s="43"/>
      <c r="AJ40" s="46">
        <f t="shared" si="9"/>
        <v>0</v>
      </c>
      <c r="AK40" s="46">
        <f t="shared" si="10"/>
        <v>0</v>
      </c>
      <c r="AL40" s="150"/>
      <c r="AM40" s="151"/>
      <c r="AN40" s="151"/>
      <c r="AO40" s="152"/>
    </row>
    <row r="41" spans="1:41" ht="14.1" customHeight="1">
      <c r="A41" s="42">
        <v>13</v>
      </c>
      <c r="B41" s="52"/>
      <c r="C41" s="28"/>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43"/>
      <c r="AF41" s="43"/>
      <c r="AG41" s="43"/>
      <c r="AH41" s="43"/>
      <c r="AI41" s="43"/>
      <c r="AJ41" s="46">
        <f t="shared" si="9"/>
        <v>0</v>
      </c>
      <c r="AK41" s="46">
        <f t="shared" si="10"/>
        <v>0</v>
      </c>
      <c r="AL41" s="150"/>
      <c r="AM41" s="151"/>
      <c r="AN41" s="151"/>
      <c r="AO41" s="152"/>
    </row>
    <row r="42" spans="1:41" ht="14.1" customHeight="1">
      <c r="A42" s="42">
        <v>14</v>
      </c>
      <c r="B42" s="52"/>
      <c r="C42" s="28"/>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43"/>
      <c r="AF42" s="43"/>
      <c r="AG42" s="43"/>
      <c r="AH42" s="43"/>
      <c r="AI42" s="43"/>
      <c r="AJ42" s="46">
        <f t="shared" si="9"/>
        <v>0</v>
      </c>
      <c r="AK42" s="46">
        <f t="shared" si="10"/>
        <v>0</v>
      </c>
      <c r="AL42" s="150"/>
      <c r="AM42" s="151"/>
      <c r="AN42" s="151"/>
      <c r="AO42" s="152"/>
    </row>
    <row r="43" spans="1:41" ht="14.1" customHeight="1">
      <c r="A43" s="42">
        <v>15</v>
      </c>
      <c r="B43" s="52"/>
      <c r="C43" s="28"/>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43"/>
      <c r="AF43" s="43"/>
      <c r="AG43" s="43"/>
      <c r="AH43" s="43"/>
      <c r="AI43" s="43"/>
      <c r="AJ43" s="46">
        <f t="shared" si="9"/>
        <v>0</v>
      </c>
      <c r="AK43" s="46">
        <f t="shared" si="10"/>
        <v>0</v>
      </c>
      <c r="AL43" s="150"/>
      <c r="AM43" s="151"/>
      <c r="AN43" s="151"/>
      <c r="AO43" s="152"/>
    </row>
    <row r="44" spans="1:41" ht="14.1" customHeight="1">
      <c r="A44" s="42">
        <v>16</v>
      </c>
      <c r="B44" s="52"/>
      <c r="C44" s="28"/>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43"/>
      <c r="AF44" s="43"/>
      <c r="AG44" s="43"/>
      <c r="AH44" s="43"/>
      <c r="AI44" s="43"/>
      <c r="AJ44" s="46">
        <f t="shared" si="9"/>
        <v>0</v>
      </c>
      <c r="AK44" s="46">
        <f t="shared" si="10"/>
        <v>0</v>
      </c>
      <c r="AL44" s="150"/>
      <c r="AM44" s="151"/>
      <c r="AN44" s="151"/>
      <c r="AO44" s="152"/>
    </row>
    <row r="45" spans="1:41" ht="14.1" customHeight="1">
      <c r="A45" s="42">
        <v>17</v>
      </c>
      <c r="B45" s="52"/>
      <c r="C45" s="28"/>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43"/>
      <c r="AF45" s="43"/>
      <c r="AG45" s="43"/>
      <c r="AH45" s="43"/>
      <c r="AI45" s="43"/>
      <c r="AJ45" s="46">
        <f t="shared" si="9"/>
        <v>0</v>
      </c>
      <c r="AK45" s="46">
        <f t="shared" si="10"/>
        <v>0</v>
      </c>
      <c r="AL45" s="150"/>
      <c r="AM45" s="151"/>
      <c r="AN45" s="151"/>
      <c r="AO45" s="152"/>
    </row>
    <row r="46" spans="1:41" ht="14.1" customHeight="1">
      <c r="A46" s="42">
        <v>18</v>
      </c>
      <c r="B46" s="52"/>
      <c r="C46" s="28"/>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43"/>
      <c r="AF46" s="43"/>
      <c r="AG46" s="43"/>
      <c r="AH46" s="43"/>
      <c r="AI46" s="43"/>
      <c r="AJ46" s="46">
        <f t="shared" si="9"/>
        <v>0</v>
      </c>
      <c r="AK46" s="46">
        <f t="shared" si="10"/>
        <v>0</v>
      </c>
      <c r="AL46" s="150"/>
      <c r="AM46" s="151"/>
      <c r="AN46" s="151"/>
      <c r="AO46" s="152"/>
    </row>
    <row r="47" spans="1:41" ht="14.1" customHeight="1">
      <c r="A47" s="42">
        <v>19</v>
      </c>
      <c r="B47" s="56"/>
      <c r="C47" s="28"/>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43"/>
      <c r="AF47" s="43"/>
      <c r="AG47" s="43"/>
      <c r="AH47" s="43"/>
      <c r="AI47" s="43"/>
      <c r="AJ47" s="46">
        <f t="shared" si="9"/>
        <v>0</v>
      </c>
      <c r="AK47" s="46">
        <f t="shared" si="10"/>
        <v>0</v>
      </c>
      <c r="AL47" s="150"/>
      <c r="AM47" s="151"/>
      <c r="AN47" s="151"/>
      <c r="AO47" s="152"/>
    </row>
    <row r="48" spans="1:41" ht="14.1" customHeight="1">
      <c r="A48" s="42">
        <v>20</v>
      </c>
      <c r="B48" s="52"/>
      <c r="C48" s="28"/>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43"/>
      <c r="AF48" s="43"/>
      <c r="AG48" s="43"/>
      <c r="AH48" s="43"/>
      <c r="AI48" s="43"/>
      <c r="AJ48" s="46">
        <f t="shared" si="9"/>
        <v>0</v>
      </c>
      <c r="AK48" s="46">
        <f t="shared" si="10"/>
        <v>0</v>
      </c>
      <c r="AL48" s="150"/>
      <c r="AM48" s="151"/>
      <c r="AN48" s="151"/>
      <c r="AO48" s="152"/>
    </row>
    <row r="49" spans="1:41" ht="14.1" customHeight="1">
      <c r="A49" s="42">
        <v>21</v>
      </c>
      <c r="B49" s="52"/>
      <c r="C49" s="28"/>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43"/>
      <c r="AF49" s="43"/>
      <c r="AG49" s="43"/>
      <c r="AH49" s="43"/>
      <c r="AI49" s="43"/>
      <c r="AJ49" s="46">
        <f t="shared" si="9"/>
        <v>0</v>
      </c>
      <c r="AK49" s="46">
        <f t="shared" si="10"/>
        <v>0</v>
      </c>
      <c r="AL49" s="150"/>
      <c r="AM49" s="151"/>
      <c r="AN49" s="151"/>
      <c r="AO49" s="152"/>
    </row>
    <row r="50" spans="1:41" ht="14.1" customHeight="1">
      <c r="A50" s="42">
        <v>22</v>
      </c>
      <c r="B50" s="52"/>
      <c r="C50" s="28"/>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43"/>
      <c r="AF50" s="43"/>
      <c r="AG50" s="43"/>
      <c r="AH50" s="43"/>
      <c r="AI50" s="43"/>
      <c r="AJ50" s="46">
        <f t="shared" si="9"/>
        <v>0</v>
      </c>
      <c r="AK50" s="46">
        <f t="shared" si="10"/>
        <v>0</v>
      </c>
      <c r="AL50" s="39"/>
      <c r="AM50" s="40"/>
      <c r="AN50" s="40"/>
      <c r="AO50" s="41"/>
    </row>
    <row r="51" spans="1:41" ht="14.1" customHeight="1">
      <c r="A51" s="42">
        <v>23</v>
      </c>
      <c r="B51" s="52"/>
      <c r="C51" s="28"/>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43"/>
      <c r="AF51" s="43"/>
      <c r="AG51" s="43"/>
      <c r="AH51" s="43"/>
      <c r="AI51" s="43"/>
      <c r="AJ51" s="46">
        <f t="shared" si="9"/>
        <v>0</v>
      </c>
      <c r="AK51" s="46">
        <f t="shared" si="10"/>
        <v>0</v>
      </c>
      <c r="AL51" s="39"/>
      <c r="AM51" s="40"/>
      <c r="AN51" s="40"/>
      <c r="AO51" s="41"/>
    </row>
    <row r="52" spans="1:41" ht="14.1" customHeight="1">
      <c r="A52" s="42">
        <v>24</v>
      </c>
      <c r="B52" s="52"/>
      <c r="C52" s="28"/>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43"/>
      <c r="AF52" s="43"/>
      <c r="AG52" s="43"/>
      <c r="AH52" s="43"/>
      <c r="AI52" s="43"/>
      <c r="AJ52" s="46">
        <f t="shared" si="9"/>
        <v>0</v>
      </c>
      <c r="AK52" s="46">
        <f t="shared" si="10"/>
        <v>0</v>
      </c>
      <c r="AL52" s="39"/>
      <c r="AM52" s="40"/>
      <c r="AN52" s="40"/>
      <c r="AO52" s="41"/>
    </row>
    <row r="53" spans="1:41" ht="14.1" customHeight="1">
      <c r="A53" s="42">
        <v>25</v>
      </c>
      <c r="B53" s="52"/>
      <c r="C53" s="28"/>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43"/>
      <c r="AF53" s="43"/>
      <c r="AG53" s="43"/>
      <c r="AH53" s="43"/>
      <c r="AI53" s="43"/>
      <c r="AJ53" s="46">
        <f t="shared" si="9"/>
        <v>0</v>
      </c>
      <c r="AK53" s="46">
        <f t="shared" si="10"/>
        <v>0</v>
      </c>
      <c r="AL53" s="39"/>
      <c r="AM53" s="40"/>
      <c r="AN53" s="40"/>
      <c r="AO53" s="41"/>
    </row>
    <row r="54" spans="1:41" ht="14.1" customHeight="1">
      <c r="A54" s="42">
        <v>26</v>
      </c>
      <c r="B54" s="52"/>
      <c r="C54" s="28"/>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43"/>
      <c r="AF54" s="43"/>
      <c r="AG54" s="43"/>
      <c r="AH54" s="43"/>
      <c r="AI54" s="43"/>
      <c r="AJ54" s="46">
        <f t="shared" si="9"/>
        <v>0</v>
      </c>
      <c r="AK54" s="46">
        <f t="shared" si="10"/>
        <v>0</v>
      </c>
      <c r="AL54" s="39"/>
      <c r="AM54" s="40"/>
      <c r="AN54" s="40"/>
      <c r="AO54" s="41"/>
    </row>
    <row r="55" spans="1:41" ht="14.1" customHeight="1">
      <c r="A55" s="42">
        <v>27</v>
      </c>
      <c r="B55" s="52"/>
      <c r="C55" s="28"/>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43"/>
      <c r="AF55" s="43"/>
      <c r="AG55" s="43"/>
      <c r="AH55" s="43"/>
      <c r="AI55" s="43"/>
      <c r="AJ55" s="46">
        <f t="shared" si="9"/>
        <v>0</v>
      </c>
      <c r="AK55" s="46">
        <f t="shared" si="10"/>
        <v>0</v>
      </c>
      <c r="AL55" s="39"/>
      <c r="AM55" s="40"/>
      <c r="AN55" s="40"/>
      <c r="AO55" s="41"/>
    </row>
    <row r="56" spans="1:41" ht="14.1" customHeight="1">
      <c r="A56" s="42">
        <v>28</v>
      </c>
      <c r="B56" s="52"/>
      <c r="C56" s="28"/>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43"/>
      <c r="AF56" s="43"/>
      <c r="AG56" s="43"/>
      <c r="AH56" s="43"/>
      <c r="AI56" s="43"/>
      <c r="AJ56" s="46">
        <f t="shared" si="9"/>
        <v>0</v>
      </c>
      <c r="AK56" s="46">
        <f t="shared" si="10"/>
        <v>0</v>
      </c>
      <c r="AL56" s="39"/>
      <c r="AM56" s="40"/>
      <c r="AN56" s="40"/>
      <c r="AO56" s="41"/>
    </row>
    <row r="57" spans="1:41" ht="14.1" customHeight="1">
      <c r="A57" s="42">
        <v>29</v>
      </c>
      <c r="B57" s="52"/>
      <c r="C57" s="28"/>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43"/>
      <c r="AF57" s="43"/>
      <c r="AG57" s="43"/>
      <c r="AH57" s="43"/>
      <c r="AI57" s="43"/>
      <c r="AJ57" s="46">
        <f t="shared" si="9"/>
        <v>0</v>
      </c>
      <c r="AK57" s="46">
        <f t="shared" si="10"/>
        <v>0</v>
      </c>
      <c r="AL57" s="39"/>
      <c r="AM57" s="40"/>
      <c r="AN57" s="40"/>
      <c r="AO57" s="41"/>
    </row>
    <row r="58" spans="1:41" ht="14.1" customHeight="1">
      <c r="A58" s="42">
        <v>30</v>
      </c>
      <c r="B58" s="52"/>
      <c r="C58" s="28"/>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43"/>
      <c r="AF58" s="43"/>
      <c r="AG58" s="43"/>
      <c r="AH58" s="43"/>
      <c r="AI58" s="43"/>
      <c r="AJ58" s="46">
        <f t="shared" si="9"/>
        <v>0</v>
      </c>
      <c r="AK58" s="46">
        <f t="shared" si="10"/>
        <v>0</v>
      </c>
      <c r="AL58" s="39"/>
      <c r="AM58" s="40"/>
      <c r="AN58" s="40"/>
      <c r="AO58" s="41"/>
    </row>
    <row r="59" spans="1:41" ht="14.1" customHeight="1">
      <c r="A59" s="42">
        <v>31</v>
      </c>
      <c r="B59" s="52"/>
      <c r="C59" s="28"/>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43"/>
      <c r="AF59" s="43"/>
      <c r="AG59" s="43"/>
      <c r="AH59" s="43"/>
      <c r="AI59" s="43"/>
      <c r="AJ59" s="46">
        <f t="shared" si="9"/>
        <v>0</v>
      </c>
      <c r="AK59" s="46">
        <f t="shared" si="10"/>
        <v>0</v>
      </c>
      <c r="AL59" s="39"/>
      <c r="AM59" s="40"/>
      <c r="AN59" s="40"/>
      <c r="AO59" s="41"/>
    </row>
    <row r="60" spans="1:41" ht="14.1" customHeight="1">
      <c r="A60" s="42">
        <v>32</v>
      </c>
      <c r="B60" s="52"/>
      <c r="C60" s="28"/>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43"/>
      <c r="AF60" s="43"/>
      <c r="AG60" s="43"/>
      <c r="AH60" s="43"/>
      <c r="AI60" s="43"/>
      <c r="AJ60" s="46">
        <f t="shared" si="9"/>
        <v>0</v>
      </c>
      <c r="AK60" s="46">
        <f t="shared" si="10"/>
        <v>0</v>
      </c>
      <c r="AL60" s="39"/>
      <c r="AM60" s="40"/>
      <c r="AN60" s="40"/>
      <c r="AO60" s="41"/>
    </row>
    <row r="61" spans="1:41" ht="14.1" customHeight="1">
      <c r="A61" s="42">
        <v>33</v>
      </c>
      <c r="B61" s="52"/>
      <c r="C61" s="28"/>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43"/>
      <c r="AF61" s="43"/>
      <c r="AG61" s="43"/>
      <c r="AH61" s="43"/>
      <c r="AI61" s="43"/>
      <c r="AJ61" s="46">
        <f t="shared" si="9"/>
        <v>0</v>
      </c>
      <c r="AK61" s="46">
        <f t="shared" si="10"/>
        <v>0</v>
      </c>
      <c r="AL61" s="39"/>
      <c r="AM61" s="40"/>
      <c r="AN61" s="40"/>
      <c r="AO61" s="41"/>
    </row>
    <row r="62" spans="1:41" ht="14.1" customHeight="1">
      <c r="A62" s="42">
        <v>34</v>
      </c>
      <c r="B62" s="56"/>
      <c r="C62" s="28"/>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43"/>
      <c r="AF62" s="43"/>
      <c r="AG62" s="43"/>
      <c r="AH62" s="43"/>
      <c r="AI62" s="43"/>
      <c r="AJ62" s="46">
        <f t="shared" si="9"/>
        <v>0</v>
      </c>
      <c r="AK62" s="46">
        <f t="shared" si="10"/>
        <v>0</v>
      </c>
      <c r="AL62" s="39"/>
      <c r="AM62" s="40"/>
      <c r="AN62" s="40"/>
      <c r="AO62" s="41"/>
    </row>
    <row r="63" spans="1:41" ht="14.1" customHeight="1">
      <c r="A63" s="42">
        <v>35</v>
      </c>
      <c r="B63" s="52"/>
      <c r="C63" s="28"/>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43"/>
      <c r="AF63" s="43"/>
      <c r="AG63" s="43"/>
      <c r="AH63" s="43"/>
      <c r="AI63" s="43"/>
      <c r="AJ63" s="46">
        <f t="shared" si="9"/>
        <v>0</v>
      </c>
      <c r="AK63" s="46">
        <f t="shared" si="10"/>
        <v>0</v>
      </c>
      <c r="AL63" s="150"/>
      <c r="AM63" s="151"/>
      <c r="AN63" s="151"/>
      <c r="AO63" s="152"/>
    </row>
    <row r="64" spans="1:41" ht="14.1" customHeight="1" thickBot="1">
      <c r="A64" s="50">
        <v>36</v>
      </c>
      <c r="B64" s="57"/>
      <c r="C64" s="28"/>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43"/>
      <c r="AF64" s="43"/>
      <c r="AG64" s="43"/>
      <c r="AH64" s="43"/>
      <c r="AI64" s="43"/>
      <c r="AJ64" s="46">
        <f t="shared" si="9"/>
        <v>0</v>
      </c>
      <c r="AK64" s="46">
        <f t="shared" si="10"/>
        <v>0</v>
      </c>
      <c r="AL64" s="150"/>
      <c r="AM64" s="151"/>
      <c r="AN64" s="151"/>
      <c r="AO64" s="152"/>
    </row>
    <row r="65" spans="1:41" ht="15.75" thickBot="1">
      <c r="A65" s="139" t="s">
        <v>35</v>
      </c>
      <c r="B65" s="140"/>
      <c r="C65" s="48"/>
      <c r="D65" s="48">
        <f t="shared" ref="D65:H65" si="11">ROWS(D29:D64) - COUNTIF(D29:D64,"X")</f>
        <v>36</v>
      </c>
      <c r="E65" s="48">
        <f t="shared" si="11"/>
        <v>36</v>
      </c>
      <c r="F65" s="48">
        <f t="shared" si="11"/>
        <v>36</v>
      </c>
      <c r="G65" s="48">
        <f t="shared" si="11"/>
        <v>36</v>
      </c>
      <c r="H65" s="48">
        <f t="shared" si="11"/>
        <v>36</v>
      </c>
      <c r="I65" s="45">
        <f t="shared" ref="I65:AD65" si="12">COUNTIF(I29:I64,"X")</f>
        <v>0</v>
      </c>
      <c r="J65" s="48">
        <f t="shared" ref="J65:O65" si="13">ROWS(J29:J64) - COUNTIF(J29:J64,"X")</f>
        <v>36</v>
      </c>
      <c r="K65" s="48">
        <f t="shared" si="13"/>
        <v>36</v>
      </c>
      <c r="L65" s="48">
        <f t="shared" si="13"/>
        <v>36</v>
      </c>
      <c r="M65" s="48">
        <f t="shared" si="13"/>
        <v>36</v>
      </c>
      <c r="N65" s="48">
        <f t="shared" ref="N65" si="14">ROWS(N29:N64) - COUNTIF(N29:N64,"X")</f>
        <v>36</v>
      </c>
      <c r="O65" s="48">
        <f t="shared" si="13"/>
        <v>36</v>
      </c>
      <c r="P65" s="45">
        <f t="shared" si="12"/>
        <v>0</v>
      </c>
      <c r="Q65" s="48">
        <f t="shared" ref="Q65:V65" si="15">ROWS(Q29:Q64) - COUNTIF(Q29:Q64,"X")</f>
        <v>36</v>
      </c>
      <c r="R65" s="48">
        <f t="shared" si="15"/>
        <v>36</v>
      </c>
      <c r="S65" s="48">
        <f t="shared" si="15"/>
        <v>36</v>
      </c>
      <c r="T65" s="48">
        <f t="shared" si="15"/>
        <v>36</v>
      </c>
      <c r="U65" s="48">
        <f t="shared" si="15"/>
        <v>36</v>
      </c>
      <c r="V65" s="48">
        <f t="shared" si="15"/>
        <v>36</v>
      </c>
      <c r="W65" s="45">
        <f t="shared" si="12"/>
        <v>0</v>
      </c>
      <c r="X65" s="48">
        <f t="shared" ref="X65:AC65" si="16">ROWS(X29:X64) - COUNTIF(X29:X64,"X")</f>
        <v>36</v>
      </c>
      <c r="Y65" s="48">
        <f t="shared" si="16"/>
        <v>36</v>
      </c>
      <c r="Z65" s="48">
        <f t="shared" si="16"/>
        <v>36</v>
      </c>
      <c r="AA65" s="48">
        <f t="shared" si="16"/>
        <v>36</v>
      </c>
      <c r="AB65" s="48">
        <f t="shared" si="16"/>
        <v>36</v>
      </c>
      <c r="AC65" s="48">
        <f t="shared" si="16"/>
        <v>36</v>
      </c>
      <c r="AD65" s="45">
        <f t="shared" si="12"/>
        <v>0</v>
      </c>
      <c r="AE65" s="48">
        <f t="shared" ref="AE65" si="17">ROWS(AE29:AE64) - COUNTIF(AE29:AE64,"X")</f>
        <v>36</v>
      </c>
      <c r="AF65" s="48">
        <f t="shared" ref="AF65:AG65" si="18">ROWS(AF29:AF64) - COUNTIF(AF29:AF64,"X")</f>
        <v>36</v>
      </c>
      <c r="AG65" s="48">
        <f t="shared" si="18"/>
        <v>36</v>
      </c>
      <c r="AH65" s="48"/>
      <c r="AI65" s="48"/>
      <c r="AJ65" s="47">
        <f>SUM(AJ29:AJ64)</f>
        <v>0</v>
      </c>
      <c r="AK65" s="47">
        <f>SUM(AK29:AK64)</f>
        <v>0</v>
      </c>
      <c r="AL65" s="141">
        <f>SUM(C65:AI65)</f>
        <v>936</v>
      </c>
      <c r="AM65" s="141"/>
      <c r="AN65" s="141"/>
      <c r="AO65" s="142"/>
    </row>
    <row r="66" spans="1:41" ht="15" customHeight="1" thickBot="1">
      <c r="A66" s="139" t="s">
        <v>36</v>
      </c>
      <c r="B66" s="140"/>
      <c r="C66" s="44"/>
      <c r="D66" s="44">
        <f t="shared" ref="D66" si="19">SUM(D28,D65)</f>
        <v>49</v>
      </c>
      <c r="E66" s="44">
        <f>SUM(E28,E65)</f>
        <v>50</v>
      </c>
      <c r="F66" s="44">
        <f>SUM(F28,F65)</f>
        <v>50</v>
      </c>
      <c r="G66" s="44">
        <f>SUM(G28,G65)</f>
        <v>50</v>
      </c>
      <c r="H66" s="44">
        <f>SUM(H28,H65)</f>
        <v>50</v>
      </c>
      <c r="I66" s="21"/>
      <c r="J66" s="44">
        <f t="shared" ref="J66:O66" si="20">SUM(J28,J65)</f>
        <v>50</v>
      </c>
      <c r="K66" s="44">
        <f t="shared" si="20"/>
        <v>50</v>
      </c>
      <c r="L66" s="44">
        <f t="shared" si="20"/>
        <v>50</v>
      </c>
      <c r="M66" s="44">
        <f t="shared" si="20"/>
        <v>50</v>
      </c>
      <c r="N66" s="44">
        <f t="shared" ref="N66" si="21">SUM(N28,N65)</f>
        <v>50</v>
      </c>
      <c r="O66" s="44">
        <f t="shared" si="20"/>
        <v>50</v>
      </c>
      <c r="P66" s="21"/>
      <c r="Q66" s="44">
        <f t="shared" ref="Q66:V66" si="22">SUM(Q28,Q65)</f>
        <v>50</v>
      </c>
      <c r="R66" s="44">
        <f t="shared" si="22"/>
        <v>50</v>
      </c>
      <c r="S66" s="44">
        <f t="shared" si="22"/>
        <v>50</v>
      </c>
      <c r="T66" s="44">
        <f t="shared" si="22"/>
        <v>50</v>
      </c>
      <c r="U66" s="44">
        <f t="shared" si="22"/>
        <v>50</v>
      </c>
      <c r="V66" s="44">
        <f t="shared" si="22"/>
        <v>50</v>
      </c>
      <c r="W66" s="21"/>
      <c r="X66" s="44">
        <f t="shared" ref="X66:AC66" si="23">SUM(X28,X65)</f>
        <v>50</v>
      </c>
      <c r="Y66" s="44">
        <f t="shared" si="23"/>
        <v>50</v>
      </c>
      <c r="Z66" s="44">
        <f t="shared" si="23"/>
        <v>50</v>
      </c>
      <c r="AA66" s="44">
        <f t="shared" si="23"/>
        <v>50</v>
      </c>
      <c r="AB66" s="44">
        <f t="shared" si="23"/>
        <v>50</v>
      </c>
      <c r="AC66" s="44">
        <f t="shared" si="23"/>
        <v>50</v>
      </c>
      <c r="AD66" s="21"/>
      <c r="AE66" s="44">
        <f t="shared" ref="AE66" si="24">SUM(AE28,AE65)</f>
        <v>50</v>
      </c>
      <c r="AF66" s="44">
        <f t="shared" ref="AF66:AK66" si="25">SUM(AF28,AF65)</f>
        <v>50</v>
      </c>
      <c r="AG66" s="44">
        <f t="shared" si="25"/>
        <v>50</v>
      </c>
      <c r="AH66" s="44"/>
      <c r="AI66" s="44"/>
      <c r="AJ66" s="47">
        <f t="shared" si="25"/>
        <v>1</v>
      </c>
      <c r="AK66" s="47">
        <f t="shared" si="25"/>
        <v>1</v>
      </c>
      <c r="AL66" s="141">
        <f>SUM(C66:AI66)</f>
        <v>1299</v>
      </c>
      <c r="AM66" s="141"/>
      <c r="AN66" s="141"/>
      <c r="AO66" s="142"/>
    </row>
    <row r="67" spans="1:41" ht="15.75" thickBot="1"/>
    <row r="68" spans="1:41" ht="38.25" customHeight="1">
      <c r="A68" s="143" t="s">
        <v>52</v>
      </c>
      <c r="B68" s="143"/>
      <c r="C68" s="8"/>
      <c r="T68" s="144" t="s">
        <v>54</v>
      </c>
      <c r="U68" s="145"/>
      <c r="V68" s="145"/>
      <c r="W68" s="145"/>
      <c r="X68" s="145"/>
      <c r="Y68" s="145"/>
      <c r="Z68" s="145"/>
      <c r="AA68" s="145"/>
      <c r="AB68" s="145"/>
      <c r="AC68" s="145"/>
      <c r="AD68" s="145"/>
      <c r="AE68" s="145"/>
      <c r="AF68" s="145"/>
      <c r="AG68" s="146"/>
      <c r="AH68" s="37"/>
      <c r="AI68" s="37"/>
      <c r="AJ68" s="84" t="s">
        <v>12</v>
      </c>
      <c r="AK68" s="147" t="s">
        <v>13</v>
      </c>
      <c r="AL68" s="147"/>
      <c r="AM68" s="148" t="s">
        <v>15</v>
      </c>
      <c r="AN68" s="148"/>
      <c r="AO68" s="149"/>
    </row>
    <row r="69" spans="1:41"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70" t="s">
        <v>90</v>
      </c>
      <c r="AK69" s="134">
        <v>26</v>
      </c>
      <c r="AL69" s="134"/>
      <c r="AM69" s="83" t="s">
        <v>16</v>
      </c>
      <c r="AN69" s="83" t="s">
        <v>17</v>
      </c>
      <c r="AO69" s="71" t="s">
        <v>18</v>
      </c>
    </row>
    <row r="70" spans="1:41"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126" t="s">
        <v>19</v>
      </c>
      <c r="AK70" s="127"/>
      <c r="AL70" s="127"/>
      <c r="AM70" s="79">
        <v>14</v>
      </c>
      <c r="AN70" s="79">
        <v>36</v>
      </c>
      <c r="AO70" s="80">
        <f>AM70+AN70</f>
        <v>50</v>
      </c>
    </row>
    <row r="71" spans="1:41" ht="29.1" customHeight="1" thickBot="1">
      <c r="B71" s="133" t="s">
        <v>77</v>
      </c>
      <c r="C71" s="124" t="s">
        <v>21</v>
      </c>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126" t="s">
        <v>20</v>
      </c>
      <c r="AK71" s="127"/>
      <c r="AL71" s="127"/>
      <c r="AM71" s="79">
        <v>0</v>
      </c>
      <c r="AN71" s="79">
        <v>0</v>
      </c>
      <c r="AO71" s="80">
        <v>0</v>
      </c>
    </row>
    <row r="72" spans="1:41" ht="29.1" customHeight="1">
      <c r="B72" s="133"/>
      <c r="C72" s="132" t="s">
        <v>75</v>
      </c>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126" t="s">
        <v>21</v>
      </c>
      <c r="AK72" s="127"/>
      <c r="AL72" s="127"/>
      <c r="AM72" s="79">
        <v>14</v>
      </c>
      <c r="AN72" s="79">
        <v>36</v>
      </c>
      <c r="AO72" s="80">
        <f>AM72+AN72</f>
        <v>50</v>
      </c>
    </row>
    <row r="73" spans="1:41" ht="29.1" customHeight="1" thickBot="1">
      <c r="B73" s="133" t="s">
        <v>80</v>
      </c>
      <c r="C73" s="124" t="s">
        <v>78</v>
      </c>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126" t="s">
        <v>22</v>
      </c>
      <c r="AK73" s="127"/>
      <c r="AL73" s="127"/>
      <c r="AM73" s="81">
        <v>1</v>
      </c>
      <c r="AN73" s="81">
        <v>1</v>
      </c>
      <c r="AO73" s="82">
        <v>1</v>
      </c>
    </row>
    <row r="74" spans="1:41" ht="29.1" customHeight="1">
      <c r="B74" s="133"/>
      <c r="C74" s="132" t="s">
        <v>79</v>
      </c>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121" t="s">
        <v>99</v>
      </c>
      <c r="AK74" s="122"/>
      <c r="AL74" s="122"/>
      <c r="AM74" s="79">
        <v>14</v>
      </c>
      <c r="AN74" s="79">
        <v>36</v>
      </c>
      <c r="AO74" s="80">
        <f>AM74+AN74</f>
        <v>50</v>
      </c>
    </row>
    <row r="75" spans="1:41" ht="29.1" customHeight="1">
      <c r="T75" s="100"/>
      <c r="U75" s="101"/>
      <c r="V75" s="101"/>
      <c r="W75" s="101"/>
      <c r="X75" s="101"/>
      <c r="Y75" s="101"/>
      <c r="Z75" s="101"/>
      <c r="AA75" s="101"/>
      <c r="AB75" s="101"/>
      <c r="AC75" s="101"/>
      <c r="AD75" s="101"/>
      <c r="AE75" s="101"/>
      <c r="AF75" s="101"/>
      <c r="AG75" s="102"/>
      <c r="AH75" s="36"/>
      <c r="AI75" s="36"/>
      <c r="AJ75" s="121" t="s">
        <v>98</v>
      </c>
      <c r="AK75" s="122"/>
      <c r="AL75" s="122"/>
      <c r="AM75" s="81">
        <v>1</v>
      </c>
      <c r="AN75" s="81">
        <v>1</v>
      </c>
      <c r="AO75" s="82">
        <v>1</v>
      </c>
    </row>
    <row r="76" spans="1:41" s="2" customFormat="1" ht="29.1" customHeight="1" thickBot="1">
      <c r="B76" s="123" t="s">
        <v>82</v>
      </c>
      <c r="C76" s="124" t="s">
        <v>81</v>
      </c>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126" t="s">
        <v>23</v>
      </c>
      <c r="AK76" s="127"/>
      <c r="AL76" s="127"/>
      <c r="AM76" s="79">
        <v>0</v>
      </c>
      <c r="AN76" s="79">
        <v>0</v>
      </c>
      <c r="AO76" s="80">
        <v>0</v>
      </c>
    </row>
    <row r="77" spans="1:41" s="2" customFormat="1" ht="23.25" customHeight="1">
      <c r="B77" s="123"/>
      <c r="C77" s="128" t="s">
        <v>21</v>
      </c>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129"/>
      <c r="AK77" s="130"/>
      <c r="AL77" s="130"/>
      <c r="AM77" s="130"/>
      <c r="AN77" s="130"/>
      <c r="AO77" s="131"/>
    </row>
    <row r="78" spans="1:41"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115" t="s">
        <v>24</v>
      </c>
      <c r="AK78" s="116"/>
      <c r="AL78" s="116"/>
      <c r="AM78" s="74">
        <v>0</v>
      </c>
      <c r="AN78" s="74">
        <v>0</v>
      </c>
      <c r="AO78" s="75">
        <v>0</v>
      </c>
    </row>
    <row r="79" spans="1:41"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118" t="s">
        <v>25</v>
      </c>
      <c r="AK79" s="119"/>
      <c r="AL79" s="119"/>
      <c r="AM79" s="76">
        <v>0</v>
      </c>
      <c r="AN79" s="76">
        <v>0</v>
      </c>
      <c r="AO79" s="75">
        <v>0</v>
      </c>
    </row>
    <row r="80" spans="1:41"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118" t="s">
        <v>26</v>
      </c>
      <c r="AK80" s="119"/>
      <c r="AL80" s="119"/>
      <c r="AM80" s="76">
        <v>0</v>
      </c>
      <c r="AN80" s="76">
        <v>0</v>
      </c>
      <c r="AO80" s="75">
        <v>0</v>
      </c>
    </row>
    <row r="81" spans="1:43" ht="25.5" customHeight="1">
      <c r="A81" s="34" t="s">
        <v>85</v>
      </c>
      <c r="T81" s="100"/>
      <c r="U81" s="101"/>
      <c r="V81" s="101"/>
      <c r="W81" s="101"/>
      <c r="X81" s="101"/>
      <c r="Y81" s="101"/>
      <c r="Z81" s="101"/>
      <c r="AA81" s="101"/>
      <c r="AB81" s="101"/>
      <c r="AC81" s="101"/>
      <c r="AD81" s="101"/>
      <c r="AE81" s="101"/>
      <c r="AF81" s="101"/>
      <c r="AG81" s="102"/>
      <c r="AH81" s="36"/>
      <c r="AI81" s="36"/>
      <c r="AJ81" s="118" t="s">
        <v>27</v>
      </c>
      <c r="AK81" s="119"/>
      <c r="AL81" s="119"/>
      <c r="AM81" s="76">
        <v>0</v>
      </c>
      <c r="AN81" s="76">
        <v>0</v>
      </c>
      <c r="AO81" s="75">
        <v>0</v>
      </c>
    </row>
    <row r="82" spans="1:43" ht="25.5" customHeight="1" thickBot="1">
      <c r="T82" s="103" t="s">
        <v>61</v>
      </c>
      <c r="U82" s="104"/>
      <c r="V82" s="104"/>
      <c r="W82" s="104"/>
      <c r="X82" s="104"/>
      <c r="Y82" s="104"/>
      <c r="Z82" s="104"/>
      <c r="AA82" s="104"/>
      <c r="AB82" s="104"/>
      <c r="AC82" s="104"/>
      <c r="AD82" s="104"/>
      <c r="AE82" s="104"/>
      <c r="AF82" s="104"/>
      <c r="AG82" s="105"/>
      <c r="AH82" s="38"/>
      <c r="AI82" s="38"/>
      <c r="AJ82" s="111" t="s">
        <v>28</v>
      </c>
      <c r="AK82" s="112"/>
      <c r="AL82" s="112"/>
      <c r="AM82" s="77">
        <v>0</v>
      </c>
      <c r="AN82" s="77">
        <v>0</v>
      </c>
      <c r="AO82" s="78">
        <v>0</v>
      </c>
      <c r="AP82" s="13"/>
      <c r="AQ82" s="13"/>
    </row>
    <row r="83" spans="1:43" ht="15" customHeight="1">
      <c r="T83" s="100" t="s">
        <v>62</v>
      </c>
      <c r="U83" s="101"/>
      <c r="V83" s="101"/>
      <c r="W83" s="101"/>
      <c r="X83" s="101"/>
      <c r="Y83" s="101"/>
      <c r="Z83" s="101"/>
      <c r="AA83" s="101"/>
      <c r="AB83" s="101"/>
      <c r="AC83" s="101"/>
      <c r="AD83" s="101"/>
      <c r="AE83" s="101"/>
      <c r="AF83" s="101"/>
      <c r="AG83" s="102"/>
      <c r="AH83" s="36"/>
      <c r="AI83" s="36"/>
      <c r="AJ83" s="10"/>
      <c r="AK83" s="10"/>
      <c r="AL83" s="10"/>
      <c r="AM83" s="10"/>
      <c r="AN83" s="10"/>
      <c r="AO83" s="10"/>
      <c r="AP83" s="10"/>
      <c r="AQ83" s="10"/>
    </row>
    <row r="84" spans="1:43">
      <c r="T84" s="100"/>
      <c r="U84" s="101"/>
      <c r="V84" s="101"/>
      <c r="W84" s="101"/>
      <c r="X84" s="101"/>
      <c r="Y84" s="101"/>
      <c r="Z84" s="101"/>
      <c r="AA84" s="101"/>
      <c r="AB84" s="101"/>
      <c r="AC84" s="101"/>
      <c r="AD84" s="101"/>
      <c r="AE84" s="101"/>
      <c r="AF84" s="101"/>
      <c r="AG84" s="102"/>
      <c r="AH84" s="36"/>
      <c r="AI84" s="36"/>
      <c r="AP84" s="14"/>
      <c r="AQ84" s="14"/>
    </row>
    <row r="85" spans="1:43" ht="15.75" thickBot="1">
      <c r="T85" s="100"/>
      <c r="U85" s="101"/>
      <c r="V85" s="101"/>
      <c r="W85" s="101"/>
      <c r="X85" s="101"/>
      <c r="Y85" s="101"/>
      <c r="Z85" s="101"/>
      <c r="AA85" s="101"/>
      <c r="AB85" s="101"/>
      <c r="AC85" s="101"/>
      <c r="AD85" s="101"/>
      <c r="AE85" s="101"/>
      <c r="AF85" s="101"/>
      <c r="AG85" s="102"/>
      <c r="AH85" s="36"/>
      <c r="AI85" s="36"/>
      <c r="AJ85" s="113" t="s">
        <v>108</v>
      </c>
      <c r="AK85" s="113"/>
      <c r="AL85" s="113"/>
      <c r="AM85" s="113"/>
      <c r="AN85" s="113"/>
      <c r="AO85" s="113"/>
      <c r="AP85" s="15"/>
      <c r="AQ85" s="15"/>
    </row>
    <row r="86" spans="1:43" ht="15" customHeight="1">
      <c r="T86" s="103" t="s">
        <v>63</v>
      </c>
      <c r="U86" s="104"/>
      <c r="V86" s="104"/>
      <c r="W86" s="104"/>
      <c r="X86" s="104"/>
      <c r="Y86" s="104"/>
      <c r="Z86" s="104"/>
      <c r="AA86" s="104"/>
      <c r="AB86" s="104"/>
      <c r="AC86" s="104"/>
      <c r="AD86" s="104"/>
      <c r="AE86" s="104"/>
      <c r="AF86" s="104"/>
      <c r="AG86" s="105"/>
      <c r="AH86" s="38"/>
      <c r="AI86" s="38"/>
      <c r="AJ86" s="114" t="s">
        <v>72</v>
      </c>
      <c r="AK86" s="114"/>
      <c r="AL86" s="114"/>
      <c r="AM86" s="114"/>
      <c r="AN86" s="114"/>
      <c r="AO86" s="114"/>
    </row>
    <row r="87" spans="1:43" ht="15" customHeight="1">
      <c r="T87" s="100" t="s">
        <v>64</v>
      </c>
      <c r="U87" s="101"/>
      <c r="V87" s="101"/>
      <c r="W87" s="101"/>
      <c r="X87" s="101"/>
      <c r="Y87" s="101"/>
      <c r="Z87" s="101"/>
      <c r="AA87" s="101"/>
      <c r="AB87" s="101"/>
      <c r="AC87" s="101"/>
      <c r="AD87" s="101"/>
      <c r="AE87" s="101"/>
      <c r="AF87" s="101"/>
      <c r="AG87" s="102"/>
      <c r="AH87" s="36"/>
      <c r="AI87" s="36"/>
    </row>
    <row r="88" spans="1:43">
      <c r="T88" s="100"/>
      <c r="U88" s="101"/>
      <c r="V88" s="101"/>
      <c r="W88" s="101"/>
      <c r="X88" s="101"/>
      <c r="Y88" s="101"/>
      <c r="Z88" s="101"/>
      <c r="AA88" s="101"/>
      <c r="AB88" s="101"/>
      <c r="AC88" s="101"/>
      <c r="AD88" s="101"/>
      <c r="AE88" s="101"/>
      <c r="AF88" s="101"/>
      <c r="AG88" s="102"/>
      <c r="AH88" s="36"/>
      <c r="AI88" s="36"/>
      <c r="AJ88" s="12" t="s">
        <v>73</v>
      </c>
    </row>
    <row r="89" spans="1:43">
      <c r="T89" s="100"/>
      <c r="U89" s="101"/>
      <c r="V89" s="101"/>
      <c r="W89" s="101"/>
      <c r="X89" s="101"/>
      <c r="Y89" s="101"/>
      <c r="Z89" s="101"/>
      <c r="AA89" s="101"/>
      <c r="AB89" s="101"/>
      <c r="AC89" s="101"/>
      <c r="AD89" s="101"/>
      <c r="AE89" s="101"/>
      <c r="AF89" s="101"/>
      <c r="AG89" s="102"/>
      <c r="AH89" s="36"/>
      <c r="AI89" s="36"/>
    </row>
    <row r="90" spans="1:43" ht="15" customHeight="1">
      <c r="T90" s="103" t="s">
        <v>65</v>
      </c>
      <c r="U90" s="104"/>
      <c r="V90" s="104"/>
      <c r="W90" s="104"/>
      <c r="X90" s="104"/>
      <c r="Y90" s="104"/>
      <c r="Z90" s="104"/>
      <c r="AA90" s="104"/>
      <c r="AB90" s="104"/>
      <c r="AC90" s="104"/>
      <c r="AD90" s="104"/>
      <c r="AE90" s="104"/>
      <c r="AF90" s="104"/>
      <c r="AG90" s="105"/>
      <c r="AH90" s="38"/>
      <c r="AI90" s="38"/>
    </row>
    <row r="91" spans="1:43" ht="15.75" customHeight="1" thickBot="1">
      <c r="T91" s="100" t="s">
        <v>66</v>
      </c>
      <c r="U91" s="101"/>
      <c r="V91" s="101"/>
      <c r="W91" s="101"/>
      <c r="X91" s="101"/>
      <c r="Y91" s="101"/>
      <c r="Z91" s="101"/>
      <c r="AA91" s="101"/>
      <c r="AB91" s="101"/>
      <c r="AC91" s="101"/>
      <c r="AD91" s="101"/>
      <c r="AE91" s="101"/>
      <c r="AF91" s="101"/>
      <c r="AG91" s="102"/>
      <c r="AH91" s="36"/>
      <c r="AI91" s="36"/>
      <c r="AJ91" s="106" t="s">
        <v>105</v>
      </c>
      <c r="AK91" s="106"/>
      <c r="AL91" s="106"/>
      <c r="AM91" s="106"/>
      <c r="AN91" s="106"/>
      <c r="AO91" s="106"/>
      <c r="AP91" s="16"/>
    </row>
    <row r="92" spans="1:43">
      <c r="T92" s="32"/>
      <c r="U92" s="13"/>
      <c r="V92" s="13"/>
      <c r="W92" s="13"/>
      <c r="X92" s="13"/>
      <c r="Y92" s="13"/>
      <c r="Z92" s="13"/>
      <c r="AA92" s="13"/>
      <c r="AB92" s="13"/>
      <c r="AC92" s="13"/>
      <c r="AD92" s="13"/>
      <c r="AE92" s="13"/>
      <c r="AF92" s="13"/>
      <c r="AG92" s="33"/>
      <c r="AH92" s="13"/>
      <c r="AI92" s="13"/>
      <c r="AJ92" s="107" t="s">
        <v>101</v>
      </c>
      <c r="AK92" s="107"/>
      <c r="AL92" s="107"/>
      <c r="AM92" s="107"/>
      <c r="AN92" s="107"/>
      <c r="AO92" s="107"/>
    </row>
    <row r="93" spans="1:43" ht="14.25" customHeight="1">
      <c r="T93" s="108" t="s">
        <v>67</v>
      </c>
      <c r="U93" s="109"/>
      <c r="V93" s="109"/>
      <c r="W93" s="109"/>
      <c r="X93" s="109"/>
      <c r="Y93" s="109"/>
      <c r="Z93" s="109"/>
      <c r="AA93" s="109"/>
      <c r="AB93" s="109"/>
      <c r="AC93" s="109"/>
      <c r="AD93" s="109"/>
      <c r="AE93" s="109"/>
      <c r="AF93" s="109"/>
      <c r="AG93" s="110"/>
      <c r="AH93" s="35"/>
      <c r="AI93" s="35"/>
    </row>
    <row r="94" spans="1:43" ht="11.25" customHeight="1">
      <c r="T94" s="91" t="s">
        <v>68</v>
      </c>
      <c r="U94" s="92"/>
      <c r="V94" s="92"/>
      <c r="W94" s="92"/>
      <c r="X94" s="92"/>
      <c r="Y94" s="92"/>
      <c r="Z94" s="92"/>
      <c r="AA94" s="92"/>
      <c r="AB94" s="92"/>
      <c r="AC94" s="92"/>
      <c r="AD94" s="92"/>
      <c r="AE94" s="92"/>
      <c r="AF94" s="92"/>
      <c r="AG94" s="93"/>
      <c r="AH94" s="11"/>
      <c r="AI94" s="11"/>
    </row>
    <row r="95" spans="1:43" ht="10.5" customHeight="1">
      <c r="T95" s="91" t="s">
        <v>69</v>
      </c>
      <c r="U95" s="92"/>
      <c r="V95" s="92"/>
      <c r="W95" s="92"/>
      <c r="X95" s="92"/>
      <c r="Y95" s="92"/>
      <c r="Z95" s="92"/>
      <c r="AA95" s="92"/>
      <c r="AB95" s="92"/>
      <c r="AC95" s="92"/>
      <c r="AD95" s="92"/>
      <c r="AE95" s="92"/>
      <c r="AF95" s="92"/>
      <c r="AG95" s="93"/>
      <c r="AH95" s="11"/>
      <c r="AI95" s="11"/>
    </row>
    <row r="96" spans="1:43" ht="12" customHeight="1">
      <c r="T96" s="91" t="s">
        <v>70</v>
      </c>
      <c r="U96" s="92"/>
      <c r="V96" s="92"/>
      <c r="W96" s="92"/>
      <c r="X96" s="92"/>
      <c r="Y96" s="92"/>
      <c r="Z96" s="92"/>
      <c r="AA96" s="92"/>
      <c r="AB96" s="92"/>
      <c r="AC96" s="92"/>
      <c r="AD96" s="92"/>
      <c r="AE96" s="92"/>
      <c r="AF96" s="92"/>
      <c r="AG96" s="93"/>
      <c r="AH96" s="11"/>
      <c r="AI96" s="11"/>
    </row>
    <row r="97" spans="20:35" ht="12" customHeight="1" thickBot="1">
      <c r="T97" s="94" t="s">
        <v>71</v>
      </c>
      <c r="U97" s="95"/>
      <c r="V97" s="95"/>
      <c r="W97" s="95"/>
      <c r="X97" s="95"/>
      <c r="Y97" s="95"/>
      <c r="Z97" s="95"/>
      <c r="AA97" s="95"/>
      <c r="AB97" s="95"/>
      <c r="AC97" s="95"/>
      <c r="AD97" s="95"/>
      <c r="AE97" s="95"/>
      <c r="AF97" s="95"/>
      <c r="AG97" s="96"/>
      <c r="AH97" s="11"/>
      <c r="AI97" s="11"/>
    </row>
  </sheetData>
  <mergeCells count="124">
    <mergeCell ref="A2:AO2"/>
    <mergeCell ref="AK4:AL4"/>
    <mergeCell ref="AM4:AO4"/>
    <mergeCell ref="AJ75:AL75"/>
    <mergeCell ref="AK6:AO6"/>
    <mergeCell ref="AK8:AO8"/>
    <mergeCell ref="A10:A13"/>
    <mergeCell ref="B10:B11"/>
    <mergeCell ref="AJ10:AK12"/>
    <mergeCell ref="B12:B13"/>
    <mergeCell ref="AL12:AO12"/>
    <mergeCell ref="AL13:AO13"/>
    <mergeCell ref="A28:B28"/>
    <mergeCell ref="AL28:AO28"/>
    <mergeCell ref="AL22:AO22"/>
    <mergeCell ref="AL23:AO23"/>
    <mergeCell ref="AL24:AO24"/>
    <mergeCell ref="AL25:AO25"/>
    <mergeCell ref="AL27:AO27"/>
    <mergeCell ref="AL14:AO14"/>
    <mergeCell ref="AL15:AO15"/>
    <mergeCell ref="AL16:AO16"/>
    <mergeCell ref="AL17:AO17"/>
    <mergeCell ref="AL18:AO18"/>
    <mergeCell ref="AL42:AO42"/>
    <mergeCell ref="AL43:AO43"/>
    <mergeCell ref="AL44:AO44"/>
    <mergeCell ref="AL45:AO45"/>
    <mergeCell ref="AL46:AO46"/>
    <mergeCell ref="AL64:AO64"/>
    <mergeCell ref="AL47:AO47"/>
    <mergeCell ref="AL48:AO48"/>
    <mergeCell ref="AL49:AO49"/>
    <mergeCell ref="A65:B65"/>
    <mergeCell ref="AL65:AO65"/>
    <mergeCell ref="A66:B66"/>
    <mergeCell ref="AL66:AO66"/>
    <mergeCell ref="A68:B68"/>
    <mergeCell ref="AK68:AL68"/>
    <mergeCell ref="AM68:AO68"/>
    <mergeCell ref="AL63:AO63"/>
    <mergeCell ref="T68:AG68"/>
    <mergeCell ref="AK69:AL69"/>
    <mergeCell ref="AJ70:AL70"/>
    <mergeCell ref="B71:B72"/>
    <mergeCell ref="AJ71:AL71"/>
    <mergeCell ref="AJ72:AL72"/>
    <mergeCell ref="A69:R69"/>
    <mergeCell ref="T69:AG70"/>
    <mergeCell ref="A70:R70"/>
    <mergeCell ref="C71:L71"/>
    <mergeCell ref="M71:N72"/>
    <mergeCell ref="T71:AG72"/>
    <mergeCell ref="C72:L72"/>
    <mergeCell ref="B76:B77"/>
    <mergeCell ref="AJ76:AL76"/>
    <mergeCell ref="AJ77:AO77"/>
    <mergeCell ref="AJ81:AL81"/>
    <mergeCell ref="C73:L73"/>
    <mergeCell ref="M73:N74"/>
    <mergeCell ref="C74:L74"/>
    <mergeCell ref="C76:L76"/>
    <mergeCell ref="M76:N77"/>
    <mergeCell ref="C77:L77"/>
    <mergeCell ref="A79:R79"/>
    <mergeCell ref="A80:R80"/>
    <mergeCell ref="B73:B74"/>
    <mergeCell ref="T83:AG85"/>
    <mergeCell ref="T86:AG86"/>
    <mergeCell ref="T87:AG89"/>
    <mergeCell ref="T90:AG90"/>
    <mergeCell ref="T91:AG91"/>
    <mergeCell ref="AJ73:AL73"/>
    <mergeCell ref="AJ74:AL74"/>
    <mergeCell ref="AJ78:AL78"/>
    <mergeCell ref="AJ79:AL79"/>
    <mergeCell ref="AJ80:AL80"/>
    <mergeCell ref="C8:L8"/>
    <mergeCell ref="M8:R8"/>
    <mergeCell ref="S8:AI8"/>
    <mergeCell ref="C10:AI11"/>
    <mergeCell ref="AL37:AO37"/>
    <mergeCell ref="AL38:AO38"/>
    <mergeCell ref="AL39:AO39"/>
    <mergeCell ref="C4:L4"/>
    <mergeCell ref="N4:R4"/>
    <mergeCell ref="S4:W4"/>
    <mergeCell ref="Z4:AB4"/>
    <mergeCell ref="AC4:AJ4"/>
    <mergeCell ref="C6:L6"/>
    <mergeCell ref="N6:R6"/>
    <mergeCell ref="S6:W6"/>
    <mergeCell ref="X6:AA6"/>
    <mergeCell ref="AB6:AE6"/>
    <mergeCell ref="AL19:AO19"/>
    <mergeCell ref="AL20:AO20"/>
    <mergeCell ref="AL21:AO21"/>
    <mergeCell ref="AL29:AO29"/>
    <mergeCell ref="AL30:AO30"/>
    <mergeCell ref="AL31:AO31"/>
    <mergeCell ref="AL40:AO40"/>
    <mergeCell ref="AL41:AO41"/>
    <mergeCell ref="AL34:AO34"/>
    <mergeCell ref="AL35:AO35"/>
    <mergeCell ref="AL36:AO36"/>
    <mergeCell ref="AL10:AO10"/>
    <mergeCell ref="AL11:AO11"/>
    <mergeCell ref="T96:AG96"/>
    <mergeCell ref="T97:AG97"/>
    <mergeCell ref="T73:AG73"/>
    <mergeCell ref="T74:AG76"/>
    <mergeCell ref="T77:AG77"/>
    <mergeCell ref="T78:AG81"/>
    <mergeCell ref="T93:AG93"/>
    <mergeCell ref="T94:AG94"/>
    <mergeCell ref="T95:AG95"/>
    <mergeCell ref="AL32:AO32"/>
    <mergeCell ref="AL33:AO33"/>
    <mergeCell ref="AJ91:AO91"/>
    <mergeCell ref="AJ92:AO92"/>
    <mergeCell ref="AJ85:AO85"/>
    <mergeCell ref="AJ86:AO86"/>
    <mergeCell ref="AJ82:AL82"/>
    <mergeCell ref="T82:AG82"/>
  </mergeCells>
  <pageMargins left="0.12" right="0.12" top="0.32" bottom="0.14000000000000001" header="0.3" footer="0.14000000000000001"/>
  <pageSetup paperSize="9" scale="73" fitToHeight="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AX97"/>
  <sheetViews>
    <sheetView zoomScale="85" zoomScaleNormal="85" workbookViewId="0">
      <selection activeCell="R16" sqref="R16"/>
    </sheetView>
  </sheetViews>
  <sheetFormatPr defaultRowHeight="15"/>
  <cols>
    <col min="1" max="1" width="4.140625" customWidth="1"/>
    <col min="2" max="2" width="33.140625" customWidth="1"/>
    <col min="3" max="7" width="3.85546875" customWidth="1"/>
    <col min="8" max="8" width="0.28515625" customWidth="1"/>
    <col min="9" max="14" width="3.85546875" customWidth="1"/>
    <col min="15" max="15" width="0.28515625" customWidth="1"/>
    <col min="16" max="21" width="3.85546875" style="1" customWidth="1"/>
    <col min="22" max="22" width="0.28515625" customWidth="1"/>
    <col min="23" max="28" width="3.85546875" style="3" customWidth="1"/>
    <col min="29" max="29" width="0.28515625" customWidth="1"/>
    <col min="30" max="35" width="3.85546875" customWidth="1"/>
    <col min="36" max="36" width="9.5703125" customWidth="1"/>
    <col min="37" max="37" width="7.7109375" customWidth="1"/>
    <col min="38" max="38" width="5.5703125" customWidth="1"/>
  </cols>
  <sheetData>
    <row r="2" spans="1:50"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6"/>
      <c r="AQ2" s="6"/>
      <c r="AR2" s="6"/>
      <c r="AS2" s="6"/>
      <c r="AT2" s="6"/>
      <c r="AU2" s="6"/>
      <c r="AV2" s="6"/>
      <c r="AW2" s="6"/>
      <c r="AX2" s="6"/>
    </row>
    <row r="4" spans="1:50">
      <c r="B4" s="5" t="s">
        <v>37</v>
      </c>
      <c r="C4" s="166" t="s">
        <v>38</v>
      </c>
      <c r="D4" s="167"/>
      <c r="E4" s="167"/>
      <c r="F4" s="167"/>
      <c r="G4" s="167"/>
      <c r="H4" s="167"/>
      <c r="I4" s="167"/>
      <c r="J4" s="167"/>
      <c r="K4" s="167"/>
      <c r="L4" s="168"/>
      <c r="M4" s="170" t="s">
        <v>47</v>
      </c>
      <c r="N4" s="170"/>
      <c r="O4" s="170"/>
      <c r="P4" s="170"/>
      <c r="Q4" s="170"/>
      <c r="R4" s="166">
        <v>405431</v>
      </c>
      <c r="S4" s="167"/>
      <c r="T4" s="167"/>
      <c r="U4" s="167"/>
      <c r="V4" s="168"/>
      <c r="W4" s="4"/>
      <c r="Y4" s="190" t="s">
        <v>45</v>
      </c>
      <c r="Z4" s="190"/>
      <c r="AA4" s="190"/>
      <c r="AB4" s="166" t="s">
        <v>46</v>
      </c>
      <c r="AC4" s="167"/>
      <c r="AD4" s="167"/>
      <c r="AE4" s="167"/>
      <c r="AF4" s="167"/>
      <c r="AG4" s="167"/>
      <c r="AH4" s="167"/>
      <c r="AI4" s="167"/>
      <c r="AJ4" s="168"/>
      <c r="AK4" s="170" t="s">
        <v>42</v>
      </c>
      <c r="AL4" s="171"/>
      <c r="AM4" s="166" t="s">
        <v>43</v>
      </c>
      <c r="AN4" s="167"/>
      <c r="AO4" s="168"/>
    </row>
    <row r="5" spans="1:50" ht="9.9499999999999993" customHeight="1">
      <c r="M5" s="5"/>
      <c r="N5" s="5"/>
      <c r="O5" s="5"/>
      <c r="P5" s="5"/>
      <c r="Q5" s="5"/>
      <c r="AJ5" s="5"/>
      <c r="AK5" s="5"/>
      <c r="AL5" s="5"/>
      <c r="AM5" s="5"/>
      <c r="AN5" s="5"/>
      <c r="AO5" s="5"/>
    </row>
    <row r="6" spans="1:50">
      <c r="B6" s="5" t="s">
        <v>40</v>
      </c>
      <c r="C6" s="166" t="s">
        <v>39</v>
      </c>
      <c r="D6" s="167"/>
      <c r="E6" s="167"/>
      <c r="F6" s="167"/>
      <c r="G6" s="167"/>
      <c r="H6" s="167"/>
      <c r="I6" s="167"/>
      <c r="J6" s="167"/>
      <c r="K6" s="167"/>
      <c r="L6" s="168"/>
      <c r="M6" s="170" t="s">
        <v>48</v>
      </c>
      <c r="N6" s="170"/>
      <c r="O6" s="170"/>
      <c r="P6" s="170"/>
      <c r="Q6" s="170"/>
      <c r="R6" s="166" t="s">
        <v>109</v>
      </c>
      <c r="S6" s="167"/>
      <c r="T6" s="167"/>
      <c r="U6" s="167"/>
      <c r="V6" s="168"/>
      <c r="W6" s="170" t="s">
        <v>50</v>
      </c>
      <c r="X6" s="170"/>
      <c r="Y6" s="170"/>
      <c r="Z6" s="171"/>
      <c r="AA6" s="166">
        <v>11</v>
      </c>
      <c r="AB6" s="167"/>
      <c r="AC6" s="167"/>
      <c r="AD6" s="168"/>
      <c r="AE6" s="24"/>
      <c r="AF6" s="24"/>
      <c r="AG6" s="24"/>
      <c r="AH6" s="24"/>
      <c r="AI6" s="24"/>
      <c r="AJ6" s="5"/>
      <c r="AK6" s="166" t="s">
        <v>111</v>
      </c>
      <c r="AL6" s="167"/>
      <c r="AM6" s="167"/>
      <c r="AN6" s="167"/>
      <c r="AO6" s="168"/>
    </row>
    <row r="7" spans="1:50" ht="9.9499999999999993" customHeight="1">
      <c r="M7" s="5"/>
      <c r="N7" s="5"/>
      <c r="O7" s="5"/>
      <c r="P7" s="5"/>
      <c r="Q7" s="5"/>
      <c r="AJ7" s="5"/>
      <c r="AK7" s="5"/>
      <c r="AL7" s="5"/>
      <c r="AM7" s="5"/>
      <c r="AN7" s="5"/>
      <c r="AO7" s="5"/>
    </row>
    <row r="8" spans="1:50">
      <c r="B8" s="5" t="s">
        <v>41</v>
      </c>
      <c r="C8" s="166" t="s">
        <v>110</v>
      </c>
      <c r="D8" s="167"/>
      <c r="E8" s="167"/>
      <c r="F8" s="167"/>
      <c r="G8" s="167"/>
      <c r="H8" s="167"/>
      <c r="I8" s="167"/>
      <c r="J8" s="167"/>
      <c r="K8" s="167"/>
      <c r="L8" s="168"/>
      <c r="M8" s="196" t="s">
        <v>49</v>
      </c>
      <c r="N8" s="196"/>
      <c r="O8" s="196"/>
      <c r="P8" s="196"/>
      <c r="Q8" s="197"/>
      <c r="R8" s="172"/>
      <c r="S8" s="151"/>
      <c r="T8" s="151"/>
      <c r="U8" s="151"/>
      <c r="V8" s="151"/>
      <c r="W8" s="151"/>
      <c r="X8" s="151"/>
      <c r="Y8" s="151"/>
      <c r="Z8" s="151"/>
      <c r="AA8" s="151"/>
      <c r="AB8" s="151"/>
      <c r="AC8" s="151"/>
      <c r="AD8" s="151"/>
      <c r="AE8" s="151"/>
      <c r="AF8" s="151"/>
      <c r="AG8" s="151"/>
      <c r="AH8" s="151"/>
      <c r="AI8" s="151"/>
      <c r="AJ8" s="26"/>
      <c r="AK8" s="166" t="s">
        <v>91</v>
      </c>
      <c r="AL8" s="167"/>
      <c r="AM8" s="167"/>
      <c r="AN8" s="167"/>
      <c r="AO8" s="168"/>
    </row>
    <row r="9" spans="1:50" ht="15.75" thickBot="1"/>
    <row r="10" spans="1:50" ht="13.5" customHeight="1">
      <c r="A10" s="174" t="s">
        <v>0</v>
      </c>
      <c r="B10" s="177" t="s">
        <v>1</v>
      </c>
      <c r="C10" s="179"/>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81" t="s">
        <v>11</v>
      </c>
      <c r="AK10" s="149"/>
      <c r="AL10" s="186" t="s">
        <v>29</v>
      </c>
      <c r="AM10" s="187"/>
      <c r="AN10" s="187"/>
      <c r="AO10" s="188"/>
    </row>
    <row r="11" spans="1:50" ht="25.5" customHeight="1" thickBot="1">
      <c r="A11" s="175"/>
      <c r="B11" s="178"/>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2"/>
      <c r="AK11" s="183"/>
      <c r="AL11" s="158" t="s">
        <v>31</v>
      </c>
      <c r="AM11" s="159"/>
      <c r="AN11" s="159"/>
      <c r="AO11" s="160"/>
    </row>
    <row r="12" spans="1:50" ht="25.5" customHeight="1" thickBot="1">
      <c r="A12" s="175"/>
      <c r="B12" s="198" t="s">
        <v>2</v>
      </c>
      <c r="C12" s="87"/>
      <c r="D12" s="61"/>
      <c r="E12" s="61">
        <v>1</v>
      </c>
      <c r="F12" s="61">
        <v>2</v>
      </c>
      <c r="G12" s="61">
        <v>3</v>
      </c>
      <c r="H12" s="62"/>
      <c r="I12" s="61">
        <v>5</v>
      </c>
      <c r="J12" s="61">
        <v>6</v>
      </c>
      <c r="K12" s="61">
        <v>7</v>
      </c>
      <c r="L12" s="61">
        <v>8</v>
      </c>
      <c r="M12" s="61">
        <v>9</v>
      </c>
      <c r="N12" s="61">
        <v>10</v>
      </c>
      <c r="O12" s="63"/>
      <c r="P12" s="61">
        <v>12</v>
      </c>
      <c r="Q12" s="61">
        <v>13</v>
      </c>
      <c r="R12" s="61">
        <v>14</v>
      </c>
      <c r="S12" s="61">
        <v>15</v>
      </c>
      <c r="T12" s="61">
        <v>16</v>
      </c>
      <c r="U12" s="61">
        <v>17</v>
      </c>
      <c r="V12" s="63"/>
      <c r="W12" s="61">
        <v>19</v>
      </c>
      <c r="X12" s="61">
        <v>20</v>
      </c>
      <c r="Y12" s="61">
        <v>21</v>
      </c>
      <c r="Z12" s="61">
        <v>22</v>
      </c>
      <c r="AA12" s="61">
        <v>23</v>
      </c>
      <c r="AB12" s="61">
        <v>24</v>
      </c>
      <c r="AC12" s="63"/>
      <c r="AD12" s="61">
        <v>26</v>
      </c>
      <c r="AE12" s="61">
        <v>27</v>
      </c>
      <c r="AF12" s="61">
        <v>28</v>
      </c>
      <c r="AG12" s="61">
        <v>29</v>
      </c>
      <c r="AH12" s="61">
        <v>30</v>
      </c>
      <c r="AI12" s="89">
        <v>31</v>
      </c>
      <c r="AJ12" s="184"/>
      <c r="AK12" s="185"/>
      <c r="AL12" s="158" t="s">
        <v>32</v>
      </c>
      <c r="AM12" s="159"/>
      <c r="AN12" s="159"/>
      <c r="AO12" s="160"/>
    </row>
    <row r="13" spans="1:50" ht="27" customHeight="1" thickBot="1">
      <c r="A13" s="176"/>
      <c r="B13" s="199"/>
      <c r="C13" s="88" t="s">
        <v>4</v>
      </c>
      <c r="D13" s="66" t="s">
        <v>5</v>
      </c>
      <c r="E13" s="66" t="s">
        <v>6</v>
      </c>
      <c r="F13" s="66" t="s">
        <v>7</v>
      </c>
      <c r="G13" s="66" t="s">
        <v>8</v>
      </c>
      <c r="H13" s="67"/>
      <c r="I13" s="66" t="s">
        <v>3</v>
      </c>
      <c r="J13" s="66" t="s">
        <v>4</v>
      </c>
      <c r="K13" s="66" t="s">
        <v>5</v>
      </c>
      <c r="L13" s="66" t="s">
        <v>6</v>
      </c>
      <c r="M13" s="66" t="s">
        <v>7</v>
      </c>
      <c r="N13" s="66" t="s">
        <v>8</v>
      </c>
      <c r="O13" s="68"/>
      <c r="P13" s="66" t="s">
        <v>3</v>
      </c>
      <c r="Q13" s="66" t="s">
        <v>4</v>
      </c>
      <c r="R13" s="66" t="s">
        <v>5</v>
      </c>
      <c r="S13" s="66" t="s">
        <v>6</v>
      </c>
      <c r="T13" s="66" t="s">
        <v>7</v>
      </c>
      <c r="U13" s="66" t="s">
        <v>8</v>
      </c>
      <c r="V13" s="68"/>
      <c r="W13" s="66" t="s">
        <v>3</v>
      </c>
      <c r="X13" s="66" t="s">
        <v>4</v>
      </c>
      <c r="Y13" s="66" t="s">
        <v>5</v>
      </c>
      <c r="Z13" s="66" t="s">
        <v>6</v>
      </c>
      <c r="AA13" s="66" t="s">
        <v>7</v>
      </c>
      <c r="AB13" s="66" t="s">
        <v>8</v>
      </c>
      <c r="AC13" s="68"/>
      <c r="AD13" s="66" t="s">
        <v>3</v>
      </c>
      <c r="AE13" s="66" t="s">
        <v>4</v>
      </c>
      <c r="AF13" s="66" t="s">
        <v>5</v>
      </c>
      <c r="AG13" s="66" t="s">
        <v>6</v>
      </c>
      <c r="AH13" s="66" t="s">
        <v>7</v>
      </c>
      <c r="AI13" s="90" t="s">
        <v>8</v>
      </c>
      <c r="AJ13" s="72" t="s">
        <v>9</v>
      </c>
      <c r="AK13" s="73" t="s">
        <v>10</v>
      </c>
      <c r="AL13" s="163" t="s">
        <v>33</v>
      </c>
      <c r="AM13" s="164"/>
      <c r="AN13" s="164"/>
      <c r="AO13" s="165"/>
    </row>
    <row r="14" spans="1:50" ht="14.1" customHeight="1">
      <c r="A14" s="49">
        <v>1</v>
      </c>
      <c r="B14" s="51"/>
      <c r="C14" s="85"/>
      <c r="D14" s="85"/>
      <c r="E14" s="85" t="s">
        <v>107</v>
      </c>
      <c r="F14" s="85" t="s">
        <v>86</v>
      </c>
      <c r="G14" s="43"/>
      <c r="H14" s="22"/>
      <c r="I14" s="43"/>
      <c r="J14" s="43"/>
      <c r="K14" s="43"/>
      <c r="L14" s="43"/>
      <c r="M14" s="43"/>
      <c r="N14" s="43"/>
      <c r="O14" s="22"/>
      <c r="P14" s="43"/>
      <c r="Q14" s="43"/>
      <c r="R14" s="43"/>
      <c r="S14" s="43"/>
      <c r="T14" s="43"/>
      <c r="U14" s="43"/>
      <c r="V14" s="22"/>
      <c r="W14" s="43"/>
      <c r="X14" s="43"/>
      <c r="Y14" s="43"/>
      <c r="Z14" s="43"/>
      <c r="AA14" s="43"/>
      <c r="AB14" s="43"/>
      <c r="AC14" s="22"/>
      <c r="AD14" s="43"/>
      <c r="AE14" s="43"/>
      <c r="AF14" s="43"/>
      <c r="AG14" s="43"/>
      <c r="AH14" s="43"/>
      <c r="AI14" s="43"/>
      <c r="AJ14" s="46">
        <f t="shared" ref="AJ14:AJ27" si="0">COUNTIF(C14:AI14,"X")</f>
        <v>1</v>
      </c>
      <c r="AK14" s="46">
        <f t="shared" ref="AK14:AK27" si="1">COUNTIF(C14:AI14,"T")</f>
        <v>1</v>
      </c>
      <c r="AL14" s="153"/>
      <c r="AM14" s="154"/>
      <c r="AN14" s="154"/>
      <c r="AO14" s="155"/>
    </row>
    <row r="15" spans="1:50" ht="14.1" customHeight="1">
      <c r="A15" s="42">
        <v>2</v>
      </c>
      <c r="B15" s="52"/>
      <c r="C15" s="85"/>
      <c r="D15" s="43"/>
      <c r="E15" s="43"/>
      <c r="F15" s="43"/>
      <c r="G15" s="43"/>
      <c r="H15" s="23"/>
      <c r="I15" s="43"/>
      <c r="J15" s="43"/>
      <c r="K15" s="43"/>
      <c r="L15" s="43"/>
      <c r="M15" s="43"/>
      <c r="N15" s="43"/>
      <c r="O15" s="23"/>
      <c r="P15" s="43"/>
      <c r="Q15" s="43"/>
      <c r="R15" s="43"/>
      <c r="S15" s="43"/>
      <c r="T15" s="43"/>
      <c r="U15" s="43"/>
      <c r="V15" s="22"/>
      <c r="W15" s="43"/>
      <c r="X15" s="43"/>
      <c r="Y15" s="43"/>
      <c r="Z15" s="43"/>
      <c r="AA15" s="43"/>
      <c r="AB15" s="43"/>
      <c r="AC15" s="23"/>
      <c r="AD15" s="43"/>
      <c r="AE15" s="43"/>
      <c r="AF15" s="43"/>
      <c r="AG15" s="43"/>
      <c r="AH15" s="43"/>
      <c r="AI15" s="43"/>
      <c r="AJ15" s="46">
        <f t="shared" si="0"/>
        <v>0</v>
      </c>
      <c r="AK15" s="46">
        <f t="shared" si="1"/>
        <v>0</v>
      </c>
      <c r="AL15" s="150"/>
      <c r="AM15" s="151"/>
      <c r="AN15" s="151"/>
      <c r="AO15" s="152"/>
    </row>
    <row r="16" spans="1:50" ht="14.1" customHeight="1">
      <c r="A16" s="42">
        <v>3</v>
      </c>
      <c r="B16" s="53"/>
      <c r="C16" s="85"/>
      <c r="D16" s="43"/>
      <c r="E16" s="43"/>
      <c r="F16" s="43"/>
      <c r="G16" s="43"/>
      <c r="H16" s="23"/>
      <c r="I16" s="43"/>
      <c r="J16" s="43"/>
      <c r="K16" s="43"/>
      <c r="L16" s="43"/>
      <c r="M16" s="43"/>
      <c r="N16" s="43"/>
      <c r="O16" s="23"/>
      <c r="P16" s="43"/>
      <c r="Q16" s="43"/>
      <c r="R16" s="43"/>
      <c r="S16" s="43"/>
      <c r="T16" s="43"/>
      <c r="U16" s="43"/>
      <c r="V16" s="22"/>
      <c r="W16" s="43"/>
      <c r="X16" s="43"/>
      <c r="Y16" s="43"/>
      <c r="Z16" s="43"/>
      <c r="AA16" s="43"/>
      <c r="AB16" s="43"/>
      <c r="AC16" s="23"/>
      <c r="AD16" s="43"/>
      <c r="AE16" s="43"/>
      <c r="AF16" s="43"/>
      <c r="AG16" s="43"/>
      <c r="AH16" s="43"/>
      <c r="AI16" s="43"/>
      <c r="AJ16" s="46">
        <f t="shared" si="0"/>
        <v>0</v>
      </c>
      <c r="AK16" s="46">
        <f t="shared" si="1"/>
        <v>0</v>
      </c>
      <c r="AL16" s="150"/>
      <c r="AM16" s="151"/>
      <c r="AN16" s="151"/>
      <c r="AO16" s="152"/>
    </row>
    <row r="17" spans="1:41" ht="14.1" customHeight="1">
      <c r="A17" s="42">
        <v>4</v>
      </c>
      <c r="B17" s="53"/>
      <c r="C17" s="85"/>
      <c r="D17" s="43"/>
      <c r="E17" s="43"/>
      <c r="F17" s="43"/>
      <c r="G17" s="43"/>
      <c r="H17" s="23"/>
      <c r="I17" s="43"/>
      <c r="J17" s="43"/>
      <c r="K17" s="43"/>
      <c r="L17" s="43"/>
      <c r="M17" s="43"/>
      <c r="N17" s="43"/>
      <c r="O17" s="23"/>
      <c r="P17" s="43"/>
      <c r="Q17" s="43"/>
      <c r="R17" s="43"/>
      <c r="S17" s="43"/>
      <c r="T17" s="43"/>
      <c r="U17" s="43"/>
      <c r="V17" s="22"/>
      <c r="W17" s="43"/>
      <c r="X17" s="43"/>
      <c r="Y17" s="43"/>
      <c r="Z17" s="43"/>
      <c r="AA17" s="43"/>
      <c r="AB17" s="43"/>
      <c r="AC17" s="23"/>
      <c r="AD17" s="43"/>
      <c r="AE17" s="43"/>
      <c r="AF17" s="43"/>
      <c r="AG17" s="43"/>
      <c r="AH17" s="43"/>
      <c r="AI17" s="43"/>
      <c r="AJ17" s="46">
        <f t="shared" si="0"/>
        <v>0</v>
      </c>
      <c r="AK17" s="46">
        <f t="shared" si="1"/>
        <v>0</v>
      </c>
      <c r="AL17" s="150"/>
      <c r="AM17" s="151"/>
      <c r="AN17" s="151"/>
      <c r="AO17" s="152"/>
    </row>
    <row r="18" spans="1:41" ht="14.1" customHeight="1">
      <c r="A18" s="42">
        <v>5</v>
      </c>
      <c r="B18" s="53"/>
      <c r="C18" s="85"/>
      <c r="D18" s="43"/>
      <c r="E18" s="43"/>
      <c r="F18" s="43"/>
      <c r="G18" s="43"/>
      <c r="H18" s="23"/>
      <c r="I18" s="43"/>
      <c r="J18" s="43"/>
      <c r="K18" s="43"/>
      <c r="L18" s="43"/>
      <c r="M18" s="43"/>
      <c r="N18" s="43"/>
      <c r="O18" s="23"/>
      <c r="P18" s="43"/>
      <c r="Q18" s="43"/>
      <c r="R18" s="43"/>
      <c r="S18" s="43"/>
      <c r="T18" s="43"/>
      <c r="U18" s="43"/>
      <c r="V18" s="22"/>
      <c r="W18" s="43"/>
      <c r="X18" s="43"/>
      <c r="Y18" s="43"/>
      <c r="Z18" s="43"/>
      <c r="AA18" s="43"/>
      <c r="AB18" s="43"/>
      <c r="AC18" s="23"/>
      <c r="AD18" s="43"/>
      <c r="AE18" s="43"/>
      <c r="AF18" s="43"/>
      <c r="AG18" s="43"/>
      <c r="AH18" s="43"/>
      <c r="AI18" s="43"/>
      <c r="AJ18" s="46">
        <f t="shared" si="0"/>
        <v>0</v>
      </c>
      <c r="AK18" s="46">
        <f t="shared" si="1"/>
        <v>0</v>
      </c>
      <c r="AL18" s="150"/>
      <c r="AM18" s="151"/>
      <c r="AN18" s="151"/>
      <c r="AO18" s="152"/>
    </row>
    <row r="19" spans="1:41" ht="14.1" customHeight="1">
      <c r="A19" s="42">
        <v>6</v>
      </c>
      <c r="B19" s="53"/>
      <c r="C19" s="85"/>
      <c r="D19" s="43"/>
      <c r="E19" s="43"/>
      <c r="F19" s="43"/>
      <c r="G19" s="43"/>
      <c r="H19" s="23"/>
      <c r="I19" s="43"/>
      <c r="J19" s="43"/>
      <c r="K19" s="43"/>
      <c r="L19" s="43"/>
      <c r="M19" s="43"/>
      <c r="N19" s="43"/>
      <c r="O19" s="23"/>
      <c r="P19" s="43"/>
      <c r="Q19" s="43"/>
      <c r="R19" s="43"/>
      <c r="S19" s="43"/>
      <c r="T19" s="43"/>
      <c r="U19" s="43"/>
      <c r="V19" s="22"/>
      <c r="W19" s="43"/>
      <c r="X19" s="43"/>
      <c r="Y19" s="43"/>
      <c r="Z19" s="43"/>
      <c r="AA19" s="43"/>
      <c r="AB19" s="43"/>
      <c r="AC19" s="23"/>
      <c r="AD19" s="43"/>
      <c r="AE19" s="43"/>
      <c r="AF19" s="43"/>
      <c r="AG19" s="43"/>
      <c r="AH19" s="43"/>
      <c r="AI19" s="43"/>
      <c r="AJ19" s="46">
        <f t="shared" si="0"/>
        <v>0</v>
      </c>
      <c r="AK19" s="46">
        <f t="shared" si="1"/>
        <v>0</v>
      </c>
      <c r="AL19" s="150"/>
      <c r="AM19" s="151"/>
      <c r="AN19" s="151"/>
      <c r="AO19" s="152"/>
    </row>
    <row r="20" spans="1:41" ht="14.1" customHeight="1">
      <c r="A20" s="42">
        <v>7</v>
      </c>
      <c r="B20" s="53"/>
      <c r="C20" s="85"/>
      <c r="D20" s="43"/>
      <c r="E20" s="43"/>
      <c r="F20" s="43"/>
      <c r="G20" s="43"/>
      <c r="H20" s="23"/>
      <c r="I20" s="43"/>
      <c r="J20" s="43"/>
      <c r="K20" s="43"/>
      <c r="L20" s="43"/>
      <c r="M20" s="43"/>
      <c r="N20" s="43"/>
      <c r="O20" s="23"/>
      <c r="P20" s="43"/>
      <c r="Q20" s="43"/>
      <c r="R20" s="43"/>
      <c r="S20" s="43"/>
      <c r="T20" s="43"/>
      <c r="U20" s="43"/>
      <c r="V20" s="22"/>
      <c r="W20" s="43"/>
      <c r="X20" s="43"/>
      <c r="Y20" s="43"/>
      <c r="Z20" s="43"/>
      <c r="AA20" s="43"/>
      <c r="AB20" s="43"/>
      <c r="AC20" s="23"/>
      <c r="AD20" s="43"/>
      <c r="AE20" s="43"/>
      <c r="AF20" s="43"/>
      <c r="AG20" s="43"/>
      <c r="AH20" s="43"/>
      <c r="AI20" s="43"/>
      <c r="AJ20" s="46">
        <f t="shared" si="0"/>
        <v>0</v>
      </c>
      <c r="AK20" s="46">
        <f t="shared" si="1"/>
        <v>0</v>
      </c>
      <c r="AL20" s="150"/>
      <c r="AM20" s="151"/>
      <c r="AN20" s="151"/>
      <c r="AO20" s="152"/>
    </row>
    <row r="21" spans="1:41" ht="14.1" customHeight="1">
      <c r="A21" s="42">
        <v>8</v>
      </c>
      <c r="B21" s="53"/>
      <c r="C21" s="85"/>
      <c r="D21" s="43"/>
      <c r="E21" s="43"/>
      <c r="F21" s="43"/>
      <c r="G21" s="43"/>
      <c r="H21" s="23"/>
      <c r="I21" s="43"/>
      <c r="J21" s="43"/>
      <c r="K21" s="43"/>
      <c r="L21" s="43"/>
      <c r="M21" s="43"/>
      <c r="N21" s="43"/>
      <c r="O21" s="23"/>
      <c r="P21" s="43"/>
      <c r="Q21" s="43"/>
      <c r="R21" s="43"/>
      <c r="S21" s="43"/>
      <c r="T21" s="43"/>
      <c r="U21" s="43"/>
      <c r="V21" s="22"/>
      <c r="W21" s="43"/>
      <c r="X21" s="43"/>
      <c r="Y21" s="43"/>
      <c r="Z21" s="43"/>
      <c r="AA21" s="43"/>
      <c r="AB21" s="43"/>
      <c r="AC21" s="23"/>
      <c r="AD21" s="43"/>
      <c r="AE21" s="43"/>
      <c r="AF21" s="43"/>
      <c r="AG21" s="43"/>
      <c r="AH21" s="43"/>
      <c r="AI21" s="43"/>
      <c r="AJ21" s="46">
        <f t="shared" si="0"/>
        <v>0</v>
      </c>
      <c r="AK21" s="46">
        <f t="shared" si="1"/>
        <v>0</v>
      </c>
      <c r="AL21" s="150"/>
      <c r="AM21" s="151"/>
      <c r="AN21" s="151"/>
      <c r="AO21" s="152"/>
    </row>
    <row r="22" spans="1:41" ht="14.1" customHeight="1">
      <c r="A22" s="42">
        <v>9</v>
      </c>
      <c r="B22" s="52"/>
      <c r="C22" s="43"/>
      <c r="D22" s="43"/>
      <c r="E22" s="43"/>
      <c r="F22" s="43"/>
      <c r="G22" s="43"/>
      <c r="H22" s="23"/>
      <c r="I22" s="43"/>
      <c r="J22" s="43"/>
      <c r="K22" s="43"/>
      <c r="L22" s="43"/>
      <c r="M22" s="43"/>
      <c r="N22" s="43"/>
      <c r="O22" s="23"/>
      <c r="P22" s="43"/>
      <c r="Q22" s="43"/>
      <c r="R22" s="43"/>
      <c r="S22" s="43"/>
      <c r="T22" s="43"/>
      <c r="U22" s="43"/>
      <c r="V22" s="22"/>
      <c r="W22" s="43"/>
      <c r="X22" s="43"/>
      <c r="Y22" s="43"/>
      <c r="Z22" s="43"/>
      <c r="AA22" s="43"/>
      <c r="AB22" s="43"/>
      <c r="AC22" s="23"/>
      <c r="AD22" s="43"/>
      <c r="AE22" s="43"/>
      <c r="AF22" s="43"/>
      <c r="AG22" s="43"/>
      <c r="AH22" s="43"/>
      <c r="AI22" s="43"/>
      <c r="AJ22" s="46">
        <f t="shared" si="0"/>
        <v>0</v>
      </c>
      <c r="AK22" s="46">
        <f t="shared" si="1"/>
        <v>0</v>
      </c>
      <c r="AL22" s="150"/>
      <c r="AM22" s="151"/>
      <c r="AN22" s="151"/>
      <c r="AO22" s="152"/>
    </row>
    <row r="23" spans="1:41" ht="14.1" customHeight="1">
      <c r="A23" s="42">
        <v>10</v>
      </c>
      <c r="B23" s="53"/>
      <c r="C23" s="43"/>
      <c r="D23" s="43"/>
      <c r="E23" s="43"/>
      <c r="F23" s="43"/>
      <c r="G23" s="43"/>
      <c r="H23" s="23"/>
      <c r="I23" s="43"/>
      <c r="J23" s="43"/>
      <c r="K23" s="43"/>
      <c r="L23" s="43"/>
      <c r="M23" s="43"/>
      <c r="N23" s="43"/>
      <c r="O23" s="23"/>
      <c r="P23" s="43"/>
      <c r="Q23" s="43"/>
      <c r="R23" s="43"/>
      <c r="S23" s="43"/>
      <c r="T23" s="43"/>
      <c r="U23" s="43"/>
      <c r="V23" s="22"/>
      <c r="W23" s="43"/>
      <c r="X23" s="43"/>
      <c r="Y23" s="43"/>
      <c r="Z23" s="43"/>
      <c r="AA23" s="43"/>
      <c r="AB23" s="43"/>
      <c r="AC23" s="23"/>
      <c r="AD23" s="43"/>
      <c r="AE23" s="43"/>
      <c r="AF23" s="43"/>
      <c r="AG23" s="43"/>
      <c r="AH23" s="43"/>
      <c r="AI23" s="43"/>
      <c r="AJ23" s="46">
        <f t="shared" si="0"/>
        <v>0</v>
      </c>
      <c r="AK23" s="46">
        <f t="shared" si="1"/>
        <v>0</v>
      </c>
      <c r="AL23" s="150"/>
      <c r="AM23" s="151"/>
      <c r="AN23" s="151"/>
      <c r="AO23" s="152"/>
    </row>
    <row r="24" spans="1:41" ht="14.1" customHeight="1">
      <c r="A24" s="42">
        <v>11</v>
      </c>
      <c r="B24" s="53"/>
      <c r="C24" s="43"/>
      <c r="D24" s="43"/>
      <c r="E24" s="43"/>
      <c r="F24" s="43"/>
      <c r="G24" s="43"/>
      <c r="H24" s="23"/>
      <c r="I24" s="43"/>
      <c r="J24" s="43"/>
      <c r="K24" s="43"/>
      <c r="L24" s="43"/>
      <c r="M24" s="43"/>
      <c r="N24" s="43"/>
      <c r="O24" s="23"/>
      <c r="P24" s="43"/>
      <c r="Q24" s="43"/>
      <c r="R24" s="43"/>
      <c r="S24" s="43"/>
      <c r="T24" s="43"/>
      <c r="U24" s="43"/>
      <c r="V24" s="22"/>
      <c r="W24" s="43"/>
      <c r="X24" s="43"/>
      <c r="Y24" s="43"/>
      <c r="Z24" s="43"/>
      <c r="AA24" s="43"/>
      <c r="AB24" s="43"/>
      <c r="AC24" s="23"/>
      <c r="AD24" s="43"/>
      <c r="AE24" s="43"/>
      <c r="AF24" s="43"/>
      <c r="AG24" s="43"/>
      <c r="AH24" s="43"/>
      <c r="AI24" s="43"/>
      <c r="AJ24" s="46">
        <f t="shared" si="0"/>
        <v>0</v>
      </c>
      <c r="AK24" s="46">
        <f t="shared" si="1"/>
        <v>0</v>
      </c>
      <c r="AL24" s="150"/>
      <c r="AM24" s="151"/>
      <c r="AN24" s="151"/>
      <c r="AO24" s="152"/>
    </row>
    <row r="25" spans="1:41" ht="14.1" customHeight="1">
      <c r="A25" s="42">
        <v>12</v>
      </c>
      <c r="B25" s="52"/>
      <c r="C25" s="43"/>
      <c r="D25" s="43"/>
      <c r="E25" s="43"/>
      <c r="F25" s="43"/>
      <c r="G25" s="43"/>
      <c r="H25" s="23"/>
      <c r="I25" s="43"/>
      <c r="J25" s="43"/>
      <c r="K25" s="43"/>
      <c r="L25" s="43"/>
      <c r="M25" s="43"/>
      <c r="N25" s="43"/>
      <c r="O25" s="23"/>
      <c r="P25" s="43"/>
      <c r="Q25" s="43"/>
      <c r="R25" s="43"/>
      <c r="S25" s="43"/>
      <c r="T25" s="43"/>
      <c r="U25" s="43"/>
      <c r="V25" s="22"/>
      <c r="W25" s="43"/>
      <c r="X25" s="43"/>
      <c r="Y25" s="43"/>
      <c r="Z25" s="43"/>
      <c r="AA25" s="43"/>
      <c r="AB25" s="43"/>
      <c r="AC25" s="23"/>
      <c r="AD25" s="43"/>
      <c r="AE25" s="43"/>
      <c r="AF25" s="43"/>
      <c r="AG25" s="43"/>
      <c r="AH25" s="43"/>
      <c r="AI25" s="43"/>
      <c r="AJ25" s="46">
        <f t="shared" si="0"/>
        <v>0</v>
      </c>
      <c r="AK25" s="46">
        <f t="shared" si="1"/>
        <v>0</v>
      </c>
      <c r="AL25" s="150"/>
      <c r="AM25" s="151"/>
      <c r="AN25" s="151"/>
      <c r="AO25" s="152"/>
    </row>
    <row r="26" spans="1:41" ht="14.1" customHeight="1">
      <c r="A26" s="42">
        <v>13</v>
      </c>
      <c r="B26" s="54"/>
      <c r="C26" s="43"/>
      <c r="D26" s="43"/>
      <c r="E26" s="43"/>
      <c r="F26" s="43"/>
      <c r="G26" s="43"/>
      <c r="H26" s="23"/>
      <c r="I26" s="43"/>
      <c r="J26" s="43"/>
      <c r="K26" s="43"/>
      <c r="L26" s="43"/>
      <c r="M26" s="43"/>
      <c r="N26" s="43"/>
      <c r="O26" s="23"/>
      <c r="P26" s="43"/>
      <c r="Q26" s="43"/>
      <c r="R26" s="43"/>
      <c r="S26" s="43"/>
      <c r="T26" s="43"/>
      <c r="U26" s="43"/>
      <c r="V26" s="22"/>
      <c r="W26" s="43"/>
      <c r="X26" s="43"/>
      <c r="Y26" s="43"/>
      <c r="Z26" s="43"/>
      <c r="AA26" s="43"/>
      <c r="AB26" s="43"/>
      <c r="AC26" s="23"/>
      <c r="AD26" s="43"/>
      <c r="AE26" s="43"/>
      <c r="AF26" s="43"/>
      <c r="AG26" s="43"/>
      <c r="AH26" s="43"/>
      <c r="AI26" s="43"/>
      <c r="AJ26" s="46">
        <f t="shared" si="0"/>
        <v>0</v>
      </c>
      <c r="AK26" s="46">
        <f t="shared" si="1"/>
        <v>0</v>
      </c>
      <c r="AL26" s="39"/>
      <c r="AM26" s="40"/>
      <c r="AN26" s="40"/>
      <c r="AO26" s="41"/>
    </row>
    <row r="27" spans="1:41" ht="14.1" customHeight="1" thickBot="1">
      <c r="A27" s="50">
        <v>14</v>
      </c>
      <c r="B27" s="55"/>
      <c r="C27" s="43"/>
      <c r="D27" s="43"/>
      <c r="E27" s="43"/>
      <c r="F27" s="43"/>
      <c r="G27" s="43"/>
      <c r="H27" s="23"/>
      <c r="I27" s="43"/>
      <c r="J27" s="43"/>
      <c r="K27" s="43"/>
      <c r="L27" s="43"/>
      <c r="M27" s="43"/>
      <c r="N27" s="43"/>
      <c r="O27" s="23"/>
      <c r="P27" s="43"/>
      <c r="Q27" s="43"/>
      <c r="R27" s="43"/>
      <c r="S27" s="43"/>
      <c r="T27" s="43"/>
      <c r="U27" s="43"/>
      <c r="V27" s="22"/>
      <c r="W27" s="43"/>
      <c r="X27" s="43"/>
      <c r="Y27" s="43"/>
      <c r="Z27" s="43"/>
      <c r="AA27" s="43"/>
      <c r="AB27" s="43"/>
      <c r="AC27" s="23"/>
      <c r="AD27" s="43"/>
      <c r="AE27" s="43"/>
      <c r="AF27" s="43"/>
      <c r="AG27" s="43"/>
      <c r="AH27" s="43"/>
      <c r="AI27" s="43"/>
      <c r="AJ27" s="46">
        <f t="shared" si="0"/>
        <v>0</v>
      </c>
      <c r="AK27" s="46">
        <f t="shared" si="1"/>
        <v>0</v>
      </c>
      <c r="AL27" s="150"/>
      <c r="AM27" s="151"/>
      <c r="AN27" s="151"/>
      <c r="AO27" s="152"/>
    </row>
    <row r="28" spans="1:41" ht="15.75" thickBot="1">
      <c r="A28" s="156" t="s">
        <v>34</v>
      </c>
      <c r="B28" s="157"/>
      <c r="C28" s="48"/>
      <c r="D28" s="48"/>
      <c r="E28" s="48">
        <f t="shared" ref="E28:G28" si="2">ROWS(E14:E27) - COUNTIF(E14:E27,"X")</f>
        <v>13</v>
      </c>
      <c r="F28" s="48">
        <f t="shared" si="2"/>
        <v>14</v>
      </c>
      <c r="G28" s="48">
        <f t="shared" si="2"/>
        <v>14</v>
      </c>
      <c r="H28" s="45"/>
      <c r="I28" s="48">
        <f t="shared" ref="I28:N28" si="3">ROWS(I14:I27) - COUNTIF(I14:I27,"X")</f>
        <v>14</v>
      </c>
      <c r="J28" s="48">
        <f t="shared" si="3"/>
        <v>14</v>
      </c>
      <c r="K28" s="48">
        <f t="shared" si="3"/>
        <v>14</v>
      </c>
      <c r="L28" s="48">
        <f t="shared" si="3"/>
        <v>14</v>
      </c>
      <c r="M28" s="48">
        <f t="shared" si="3"/>
        <v>14</v>
      </c>
      <c r="N28" s="48">
        <f t="shared" si="3"/>
        <v>14</v>
      </c>
      <c r="O28" s="45"/>
      <c r="P28" s="48">
        <f t="shared" ref="P28:U28" si="4">ROWS(P14:P27) - COUNTIF(P14:P27,"X")</f>
        <v>14</v>
      </c>
      <c r="Q28" s="48">
        <f t="shared" si="4"/>
        <v>14</v>
      </c>
      <c r="R28" s="48">
        <f t="shared" si="4"/>
        <v>14</v>
      </c>
      <c r="S28" s="48">
        <f t="shared" si="4"/>
        <v>14</v>
      </c>
      <c r="T28" s="48">
        <f t="shared" si="4"/>
        <v>14</v>
      </c>
      <c r="U28" s="48">
        <f t="shared" si="4"/>
        <v>14</v>
      </c>
      <c r="V28" s="45"/>
      <c r="W28" s="48">
        <f t="shared" ref="W28:AB28" si="5">ROWS(W14:W27) - COUNTIF(W14:W27,"X")</f>
        <v>14</v>
      </c>
      <c r="X28" s="48">
        <f t="shared" si="5"/>
        <v>14</v>
      </c>
      <c r="Y28" s="48">
        <f t="shared" si="5"/>
        <v>14</v>
      </c>
      <c r="Z28" s="48">
        <f t="shared" si="5"/>
        <v>14</v>
      </c>
      <c r="AA28" s="48">
        <f t="shared" si="5"/>
        <v>14</v>
      </c>
      <c r="AB28" s="48">
        <f t="shared" si="5"/>
        <v>14</v>
      </c>
      <c r="AC28" s="45"/>
      <c r="AD28" s="48">
        <f t="shared" ref="AD28:AI28" si="6">ROWS(AD14:AD27) - COUNTIF(AD14:AD27,"X")</f>
        <v>14</v>
      </c>
      <c r="AE28" s="48">
        <f t="shared" si="6"/>
        <v>14</v>
      </c>
      <c r="AF28" s="48">
        <f t="shared" si="6"/>
        <v>14</v>
      </c>
      <c r="AG28" s="48">
        <f t="shared" si="6"/>
        <v>14</v>
      </c>
      <c r="AH28" s="48">
        <f t="shared" si="6"/>
        <v>14</v>
      </c>
      <c r="AI28" s="48">
        <f t="shared" si="6"/>
        <v>14</v>
      </c>
      <c r="AJ28" s="47">
        <f>SUM(AJ14:AJ27)</f>
        <v>1</v>
      </c>
      <c r="AK28" s="47">
        <f>SUM(AK14:AK27)</f>
        <v>1</v>
      </c>
      <c r="AL28" s="141">
        <f>SUM(C28:AI28)</f>
        <v>377</v>
      </c>
      <c r="AM28" s="141"/>
      <c r="AN28" s="141"/>
      <c r="AO28" s="142"/>
    </row>
    <row r="29" spans="1:41" ht="14.1" customHeight="1">
      <c r="A29" s="49">
        <v>1</v>
      </c>
      <c r="B29" s="51"/>
      <c r="C29" s="43"/>
      <c r="D29" s="43"/>
      <c r="E29" s="43"/>
      <c r="F29" s="43"/>
      <c r="G29" s="43"/>
      <c r="H29" s="22"/>
      <c r="I29" s="43"/>
      <c r="J29" s="43"/>
      <c r="K29" s="43"/>
      <c r="L29" s="43"/>
      <c r="M29" s="43"/>
      <c r="N29" s="43"/>
      <c r="O29" s="22"/>
      <c r="P29" s="43"/>
      <c r="Q29" s="43"/>
      <c r="R29" s="43"/>
      <c r="S29" s="43"/>
      <c r="T29" s="43"/>
      <c r="U29" s="43"/>
      <c r="V29" s="22"/>
      <c r="W29" s="43"/>
      <c r="X29" s="43"/>
      <c r="Y29" s="43"/>
      <c r="Z29" s="43"/>
      <c r="AA29" s="43"/>
      <c r="AB29" s="43"/>
      <c r="AC29" s="22"/>
      <c r="AD29" s="43"/>
      <c r="AE29" s="43"/>
      <c r="AF29" s="43"/>
      <c r="AG29" s="43"/>
      <c r="AH29" s="43"/>
      <c r="AI29" s="43"/>
      <c r="AJ29" s="46">
        <f t="shared" ref="AJ29:AJ64" si="7">COUNTIF(C29:AI29,"X")</f>
        <v>0</v>
      </c>
      <c r="AK29" s="46">
        <f t="shared" ref="AK29:AK64" si="8">COUNTIF(C29:AI29,"T")</f>
        <v>0</v>
      </c>
      <c r="AL29" s="153"/>
      <c r="AM29" s="154"/>
      <c r="AN29" s="154"/>
      <c r="AO29" s="155"/>
    </row>
    <row r="30" spans="1:41" ht="14.1" customHeight="1">
      <c r="A30" s="42">
        <v>2</v>
      </c>
      <c r="B30" s="52"/>
      <c r="C30" s="43"/>
      <c r="D30" s="43"/>
      <c r="E30" s="43"/>
      <c r="F30" s="43"/>
      <c r="G30" s="43"/>
      <c r="H30" s="22"/>
      <c r="I30" s="43"/>
      <c r="J30" s="43"/>
      <c r="K30" s="43"/>
      <c r="L30" s="43"/>
      <c r="M30" s="43"/>
      <c r="N30" s="43"/>
      <c r="O30" s="22"/>
      <c r="P30" s="43"/>
      <c r="Q30" s="43"/>
      <c r="R30" s="43"/>
      <c r="S30" s="43"/>
      <c r="T30" s="43"/>
      <c r="U30" s="43"/>
      <c r="V30" s="22"/>
      <c r="W30" s="43"/>
      <c r="X30" s="43"/>
      <c r="Y30" s="43"/>
      <c r="Z30" s="43"/>
      <c r="AA30" s="43"/>
      <c r="AB30" s="43"/>
      <c r="AC30" s="22"/>
      <c r="AD30" s="43"/>
      <c r="AE30" s="43"/>
      <c r="AF30" s="43"/>
      <c r="AG30" s="43"/>
      <c r="AH30" s="43"/>
      <c r="AI30" s="43"/>
      <c r="AJ30" s="46">
        <f t="shared" si="7"/>
        <v>0</v>
      </c>
      <c r="AK30" s="46">
        <f t="shared" si="8"/>
        <v>0</v>
      </c>
      <c r="AL30" s="150"/>
      <c r="AM30" s="151"/>
      <c r="AN30" s="151"/>
      <c r="AO30" s="152"/>
    </row>
    <row r="31" spans="1:41" ht="14.1" customHeight="1">
      <c r="A31" s="42">
        <v>3</v>
      </c>
      <c r="B31" s="52"/>
      <c r="C31" s="43"/>
      <c r="D31" s="43"/>
      <c r="E31" s="43"/>
      <c r="F31" s="43"/>
      <c r="G31" s="43"/>
      <c r="H31" s="22"/>
      <c r="I31" s="43"/>
      <c r="J31" s="43"/>
      <c r="K31" s="43"/>
      <c r="L31" s="43"/>
      <c r="M31" s="43"/>
      <c r="N31" s="43"/>
      <c r="O31" s="22"/>
      <c r="P31" s="43"/>
      <c r="Q31" s="43"/>
      <c r="R31" s="43"/>
      <c r="S31" s="43"/>
      <c r="T31" s="43"/>
      <c r="U31" s="43"/>
      <c r="V31" s="22"/>
      <c r="W31" s="43"/>
      <c r="X31" s="43"/>
      <c r="Y31" s="43"/>
      <c r="Z31" s="43"/>
      <c r="AA31" s="43"/>
      <c r="AB31" s="43"/>
      <c r="AC31" s="22"/>
      <c r="AD31" s="43"/>
      <c r="AE31" s="43"/>
      <c r="AF31" s="43"/>
      <c r="AG31" s="43"/>
      <c r="AH31" s="43"/>
      <c r="AI31" s="43"/>
      <c r="AJ31" s="46">
        <f t="shared" si="7"/>
        <v>0</v>
      </c>
      <c r="AK31" s="46">
        <f t="shared" si="8"/>
        <v>0</v>
      </c>
      <c r="AL31" s="150"/>
      <c r="AM31" s="151"/>
      <c r="AN31" s="151"/>
      <c r="AO31" s="152"/>
    </row>
    <row r="32" spans="1:41" ht="14.1" customHeight="1">
      <c r="A32" s="42">
        <v>4</v>
      </c>
      <c r="B32" s="52"/>
      <c r="C32" s="43"/>
      <c r="D32" s="43"/>
      <c r="E32" s="43"/>
      <c r="F32" s="43"/>
      <c r="G32" s="43"/>
      <c r="H32" s="22"/>
      <c r="I32" s="43"/>
      <c r="J32" s="43"/>
      <c r="K32" s="43"/>
      <c r="L32" s="43"/>
      <c r="M32" s="43"/>
      <c r="N32" s="43"/>
      <c r="O32" s="22"/>
      <c r="P32" s="43"/>
      <c r="Q32" s="43"/>
      <c r="R32" s="43"/>
      <c r="S32" s="43"/>
      <c r="T32" s="43"/>
      <c r="U32" s="43"/>
      <c r="V32" s="22"/>
      <c r="W32" s="43"/>
      <c r="X32" s="43"/>
      <c r="Y32" s="43"/>
      <c r="Z32" s="43"/>
      <c r="AA32" s="43"/>
      <c r="AB32" s="43"/>
      <c r="AC32" s="22"/>
      <c r="AD32" s="43"/>
      <c r="AE32" s="43"/>
      <c r="AF32" s="43"/>
      <c r="AG32" s="43"/>
      <c r="AH32" s="43"/>
      <c r="AI32" s="43"/>
      <c r="AJ32" s="46">
        <f t="shared" si="7"/>
        <v>0</v>
      </c>
      <c r="AK32" s="46">
        <f t="shared" si="8"/>
        <v>0</v>
      </c>
      <c r="AL32" s="150"/>
      <c r="AM32" s="151"/>
      <c r="AN32" s="151"/>
      <c r="AO32" s="152"/>
    </row>
    <row r="33" spans="1:41" ht="14.1" customHeight="1">
      <c r="A33" s="42">
        <v>5</v>
      </c>
      <c r="B33" s="52"/>
      <c r="C33" s="43"/>
      <c r="D33" s="43"/>
      <c r="E33" s="43"/>
      <c r="F33" s="43"/>
      <c r="G33" s="43"/>
      <c r="H33" s="22"/>
      <c r="I33" s="43"/>
      <c r="J33" s="43"/>
      <c r="K33" s="43"/>
      <c r="L33" s="43"/>
      <c r="M33" s="43"/>
      <c r="N33" s="43"/>
      <c r="O33" s="22"/>
      <c r="P33" s="43"/>
      <c r="Q33" s="43"/>
      <c r="R33" s="43"/>
      <c r="S33" s="43"/>
      <c r="T33" s="43"/>
      <c r="U33" s="43"/>
      <c r="V33" s="22"/>
      <c r="W33" s="43"/>
      <c r="X33" s="43"/>
      <c r="Y33" s="43"/>
      <c r="Z33" s="43"/>
      <c r="AA33" s="43"/>
      <c r="AB33" s="43"/>
      <c r="AC33" s="22"/>
      <c r="AD33" s="43"/>
      <c r="AE33" s="43"/>
      <c r="AF33" s="43"/>
      <c r="AG33" s="43"/>
      <c r="AH33" s="43"/>
      <c r="AI33" s="43"/>
      <c r="AJ33" s="46">
        <f t="shared" si="7"/>
        <v>0</v>
      </c>
      <c r="AK33" s="46">
        <f t="shared" si="8"/>
        <v>0</v>
      </c>
      <c r="AL33" s="150"/>
      <c r="AM33" s="151"/>
      <c r="AN33" s="151"/>
      <c r="AO33" s="152"/>
    </row>
    <row r="34" spans="1:41" ht="14.1" customHeight="1">
      <c r="A34" s="42">
        <v>6</v>
      </c>
      <c r="B34" s="52"/>
      <c r="C34" s="43"/>
      <c r="D34" s="43"/>
      <c r="E34" s="43"/>
      <c r="F34" s="43"/>
      <c r="G34" s="43"/>
      <c r="H34" s="22"/>
      <c r="I34" s="43"/>
      <c r="J34" s="43"/>
      <c r="K34" s="43"/>
      <c r="L34" s="43"/>
      <c r="M34" s="43"/>
      <c r="N34" s="43"/>
      <c r="O34" s="22"/>
      <c r="P34" s="43"/>
      <c r="Q34" s="43"/>
      <c r="R34" s="43"/>
      <c r="S34" s="43"/>
      <c r="T34" s="43"/>
      <c r="U34" s="43"/>
      <c r="V34" s="22"/>
      <c r="W34" s="43"/>
      <c r="X34" s="43"/>
      <c r="Y34" s="43"/>
      <c r="Z34" s="43"/>
      <c r="AA34" s="43"/>
      <c r="AB34" s="43"/>
      <c r="AC34" s="22"/>
      <c r="AD34" s="43"/>
      <c r="AE34" s="43"/>
      <c r="AF34" s="43"/>
      <c r="AG34" s="43"/>
      <c r="AH34" s="43"/>
      <c r="AI34" s="43"/>
      <c r="AJ34" s="46">
        <f t="shared" si="7"/>
        <v>0</v>
      </c>
      <c r="AK34" s="46">
        <f t="shared" si="8"/>
        <v>0</v>
      </c>
      <c r="AL34" s="150"/>
      <c r="AM34" s="151"/>
      <c r="AN34" s="151"/>
      <c r="AO34" s="152"/>
    </row>
    <row r="35" spans="1:41" ht="14.1" customHeight="1">
      <c r="A35" s="42">
        <v>7</v>
      </c>
      <c r="B35" s="52"/>
      <c r="C35" s="43"/>
      <c r="D35" s="43"/>
      <c r="E35" s="43"/>
      <c r="F35" s="43"/>
      <c r="G35" s="43"/>
      <c r="H35" s="22"/>
      <c r="I35" s="43"/>
      <c r="J35" s="43"/>
      <c r="K35" s="43"/>
      <c r="L35" s="43"/>
      <c r="M35" s="43"/>
      <c r="N35" s="43"/>
      <c r="O35" s="22"/>
      <c r="P35" s="43"/>
      <c r="Q35" s="43"/>
      <c r="R35" s="43"/>
      <c r="S35" s="43"/>
      <c r="T35" s="43"/>
      <c r="U35" s="43"/>
      <c r="V35" s="22"/>
      <c r="W35" s="43"/>
      <c r="X35" s="43"/>
      <c r="Y35" s="43"/>
      <c r="Z35" s="43"/>
      <c r="AA35" s="43"/>
      <c r="AB35" s="43"/>
      <c r="AC35" s="22"/>
      <c r="AD35" s="43"/>
      <c r="AE35" s="43"/>
      <c r="AF35" s="43"/>
      <c r="AG35" s="43"/>
      <c r="AH35" s="43"/>
      <c r="AI35" s="43"/>
      <c r="AJ35" s="46">
        <f t="shared" si="7"/>
        <v>0</v>
      </c>
      <c r="AK35" s="46">
        <f t="shared" si="8"/>
        <v>0</v>
      </c>
      <c r="AL35" s="150"/>
      <c r="AM35" s="151"/>
      <c r="AN35" s="151"/>
      <c r="AO35" s="152"/>
    </row>
    <row r="36" spans="1:41" ht="14.1" customHeight="1">
      <c r="A36" s="42">
        <v>8</v>
      </c>
      <c r="B36" s="52"/>
      <c r="C36" s="43"/>
      <c r="D36" s="43"/>
      <c r="E36" s="43"/>
      <c r="F36" s="43"/>
      <c r="G36" s="43"/>
      <c r="H36" s="22"/>
      <c r="I36" s="43"/>
      <c r="J36" s="43"/>
      <c r="K36" s="43"/>
      <c r="L36" s="43"/>
      <c r="M36" s="43"/>
      <c r="N36" s="43"/>
      <c r="O36" s="22"/>
      <c r="P36" s="43"/>
      <c r="Q36" s="43"/>
      <c r="R36" s="43"/>
      <c r="S36" s="43"/>
      <c r="T36" s="43"/>
      <c r="U36" s="43"/>
      <c r="V36" s="22"/>
      <c r="W36" s="43"/>
      <c r="X36" s="43"/>
      <c r="Y36" s="43"/>
      <c r="Z36" s="43"/>
      <c r="AA36" s="43"/>
      <c r="AB36" s="43"/>
      <c r="AC36" s="22"/>
      <c r="AD36" s="43"/>
      <c r="AE36" s="43"/>
      <c r="AF36" s="43"/>
      <c r="AG36" s="43"/>
      <c r="AH36" s="43"/>
      <c r="AI36" s="43"/>
      <c r="AJ36" s="46">
        <f t="shared" si="7"/>
        <v>0</v>
      </c>
      <c r="AK36" s="46">
        <f t="shared" si="8"/>
        <v>0</v>
      </c>
      <c r="AL36" s="150"/>
      <c r="AM36" s="151"/>
      <c r="AN36" s="151"/>
      <c r="AO36" s="152"/>
    </row>
    <row r="37" spans="1:41" ht="14.1" customHeight="1">
      <c r="A37" s="42">
        <v>9</v>
      </c>
      <c r="B37" s="52"/>
      <c r="C37" s="43"/>
      <c r="D37" s="43"/>
      <c r="E37" s="43"/>
      <c r="F37" s="43"/>
      <c r="G37" s="43"/>
      <c r="H37" s="22"/>
      <c r="I37" s="43"/>
      <c r="J37" s="43"/>
      <c r="K37" s="43"/>
      <c r="L37" s="43"/>
      <c r="M37" s="43"/>
      <c r="N37" s="43"/>
      <c r="O37" s="22"/>
      <c r="P37" s="43"/>
      <c r="Q37" s="43"/>
      <c r="R37" s="43"/>
      <c r="S37" s="43"/>
      <c r="T37" s="43"/>
      <c r="U37" s="43"/>
      <c r="V37" s="22"/>
      <c r="W37" s="43"/>
      <c r="X37" s="43"/>
      <c r="Y37" s="43"/>
      <c r="Z37" s="43"/>
      <c r="AA37" s="43"/>
      <c r="AB37" s="43"/>
      <c r="AC37" s="22"/>
      <c r="AD37" s="43"/>
      <c r="AE37" s="43"/>
      <c r="AF37" s="43"/>
      <c r="AG37" s="43"/>
      <c r="AH37" s="43"/>
      <c r="AI37" s="43"/>
      <c r="AJ37" s="46">
        <f t="shared" si="7"/>
        <v>0</v>
      </c>
      <c r="AK37" s="46">
        <f t="shared" si="8"/>
        <v>0</v>
      </c>
      <c r="AL37" s="150"/>
      <c r="AM37" s="151"/>
      <c r="AN37" s="151"/>
      <c r="AO37" s="152"/>
    </row>
    <row r="38" spans="1:41" ht="14.1" customHeight="1">
      <c r="A38" s="42">
        <v>10</v>
      </c>
      <c r="B38" s="52"/>
      <c r="C38" s="43"/>
      <c r="D38" s="43"/>
      <c r="E38" s="43"/>
      <c r="F38" s="43"/>
      <c r="G38" s="43"/>
      <c r="H38" s="22"/>
      <c r="I38" s="43"/>
      <c r="J38" s="43"/>
      <c r="K38" s="43"/>
      <c r="L38" s="43"/>
      <c r="M38" s="43"/>
      <c r="N38" s="43"/>
      <c r="O38" s="22"/>
      <c r="P38" s="43"/>
      <c r="Q38" s="43"/>
      <c r="R38" s="43"/>
      <c r="S38" s="43"/>
      <c r="T38" s="43"/>
      <c r="U38" s="43"/>
      <c r="V38" s="22"/>
      <c r="W38" s="43"/>
      <c r="X38" s="43"/>
      <c r="Y38" s="43"/>
      <c r="Z38" s="43"/>
      <c r="AA38" s="43"/>
      <c r="AB38" s="43"/>
      <c r="AC38" s="22"/>
      <c r="AD38" s="43"/>
      <c r="AE38" s="43"/>
      <c r="AF38" s="43"/>
      <c r="AG38" s="43"/>
      <c r="AH38" s="43"/>
      <c r="AI38" s="43"/>
      <c r="AJ38" s="46">
        <f t="shared" si="7"/>
        <v>0</v>
      </c>
      <c r="AK38" s="46">
        <f t="shared" si="8"/>
        <v>0</v>
      </c>
      <c r="AL38" s="150"/>
      <c r="AM38" s="151"/>
      <c r="AN38" s="151"/>
      <c r="AO38" s="152"/>
    </row>
    <row r="39" spans="1:41" ht="14.1" customHeight="1">
      <c r="A39" s="42">
        <v>11</v>
      </c>
      <c r="B39" s="52"/>
      <c r="C39" s="43"/>
      <c r="D39" s="43"/>
      <c r="E39" s="43"/>
      <c r="F39" s="43"/>
      <c r="G39" s="43"/>
      <c r="H39" s="22"/>
      <c r="I39" s="43"/>
      <c r="J39" s="43"/>
      <c r="K39" s="43"/>
      <c r="L39" s="43"/>
      <c r="M39" s="43"/>
      <c r="N39" s="43"/>
      <c r="O39" s="22"/>
      <c r="P39" s="43"/>
      <c r="Q39" s="43"/>
      <c r="R39" s="43"/>
      <c r="S39" s="43"/>
      <c r="T39" s="43"/>
      <c r="U39" s="43"/>
      <c r="V39" s="22"/>
      <c r="W39" s="43"/>
      <c r="X39" s="43"/>
      <c r="Y39" s="43"/>
      <c r="Z39" s="43"/>
      <c r="AA39" s="43"/>
      <c r="AB39" s="43"/>
      <c r="AC39" s="22"/>
      <c r="AD39" s="43"/>
      <c r="AE39" s="43"/>
      <c r="AF39" s="43"/>
      <c r="AG39" s="43"/>
      <c r="AH39" s="43"/>
      <c r="AI39" s="43"/>
      <c r="AJ39" s="46">
        <f t="shared" si="7"/>
        <v>0</v>
      </c>
      <c r="AK39" s="46">
        <f t="shared" si="8"/>
        <v>0</v>
      </c>
      <c r="AL39" s="150"/>
      <c r="AM39" s="151"/>
      <c r="AN39" s="151"/>
      <c r="AO39" s="152"/>
    </row>
    <row r="40" spans="1:41" ht="14.1" customHeight="1">
      <c r="A40" s="42">
        <v>12</v>
      </c>
      <c r="B40" s="52"/>
      <c r="C40" s="43"/>
      <c r="D40" s="43"/>
      <c r="E40" s="43"/>
      <c r="F40" s="43"/>
      <c r="G40" s="43"/>
      <c r="H40" s="22"/>
      <c r="I40" s="43"/>
      <c r="J40" s="43"/>
      <c r="K40" s="43"/>
      <c r="L40" s="43"/>
      <c r="M40" s="43"/>
      <c r="N40" s="43"/>
      <c r="O40" s="22"/>
      <c r="P40" s="43"/>
      <c r="Q40" s="43"/>
      <c r="R40" s="43"/>
      <c r="S40" s="43"/>
      <c r="T40" s="43"/>
      <c r="U40" s="43"/>
      <c r="V40" s="22"/>
      <c r="W40" s="43"/>
      <c r="X40" s="43"/>
      <c r="Y40" s="43"/>
      <c r="Z40" s="43"/>
      <c r="AA40" s="43"/>
      <c r="AB40" s="43"/>
      <c r="AC40" s="22"/>
      <c r="AD40" s="43"/>
      <c r="AE40" s="43"/>
      <c r="AF40" s="43"/>
      <c r="AG40" s="43"/>
      <c r="AH40" s="43"/>
      <c r="AI40" s="43"/>
      <c r="AJ40" s="46">
        <f t="shared" si="7"/>
        <v>0</v>
      </c>
      <c r="AK40" s="46">
        <f t="shared" si="8"/>
        <v>0</v>
      </c>
      <c r="AL40" s="150"/>
      <c r="AM40" s="151"/>
      <c r="AN40" s="151"/>
      <c r="AO40" s="152"/>
    </row>
    <row r="41" spans="1:41" ht="14.1" customHeight="1">
      <c r="A41" s="42">
        <v>13</v>
      </c>
      <c r="B41" s="52"/>
      <c r="C41" s="43"/>
      <c r="D41" s="43"/>
      <c r="E41" s="43"/>
      <c r="F41" s="43"/>
      <c r="G41" s="43"/>
      <c r="H41" s="22"/>
      <c r="I41" s="43"/>
      <c r="J41" s="43"/>
      <c r="K41" s="43"/>
      <c r="L41" s="43"/>
      <c r="M41" s="43"/>
      <c r="N41" s="43"/>
      <c r="O41" s="22"/>
      <c r="P41" s="43"/>
      <c r="Q41" s="43"/>
      <c r="R41" s="43"/>
      <c r="S41" s="43"/>
      <c r="T41" s="43"/>
      <c r="U41" s="43"/>
      <c r="V41" s="22"/>
      <c r="W41" s="43"/>
      <c r="X41" s="43"/>
      <c r="Y41" s="43"/>
      <c r="Z41" s="43"/>
      <c r="AA41" s="43"/>
      <c r="AB41" s="43"/>
      <c r="AC41" s="22"/>
      <c r="AD41" s="43"/>
      <c r="AE41" s="43"/>
      <c r="AF41" s="43"/>
      <c r="AG41" s="43"/>
      <c r="AH41" s="43"/>
      <c r="AI41" s="43"/>
      <c r="AJ41" s="46">
        <f t="shared" si="7"/>
        <v>0</v>
      </c>
      <c r="AK41" s="46">
        <f t="shared" si="8"/>
        <v>0</v>
      </c>
      <c r="AL41" s="150"/>
      <c r="AM41" s="151"/>
      <c r="AN41" s="151"/>
      <c r="AO41" s="152"/>
    </row>
    <row r="42" spans="1:41" ht="14.1" customHeight="1">
      <c r="A42" s="42">
        <v>14</v>
      </c>
      <c r="B42" s="52"/>
      <c r="C42" s="43"/>
      <c r="D42" s="43"/>
      <c r="E42" s="43"/>
      <c r="F42" s="43"/>
      <c r="G42" s="43"/>
      <c r="H42" s="22"/>
      <c r="I42" s="43"/>
      <c r="J42" s="43"/>
      <c r="K42" s="43"/>
      <c r="L42" s="43"/>
      <c r="M42" s="43"/>
      <c r="N42" s="43"/>
      <c r="O42" s="22"/>
      <c r="P42" s="43"/>
      <c r="Q42" s="43"/>
      <c r="R42" s="43"/>
      <c r="S42" s="43"/>
      <c r="T42" s="43"/>
      <c r="U42" s="43"/>
      <c r="V42" s="22"/>
      <c r="W42" s="43"/>
      <c r="X42" s="43"/>
      <c r="Y42" s="43"/>
      <c r="Z42" s="43"/>
      <c r="AA42" s="43"/>
      <c r="AB42" s="43"/>
      <c r="AC42" s="22"/>
      <c r="AD42" s="43"/>
      <c r="AE42" s="43"/>
      <c r="AF42" s="43"/>
      <c r="AG42" s="43"/>
      <c r="AH42" s="43"/>
      <c r="AI42" s="43"/>
      <c r="AJ42" s="46">
        <f t="shared" si="7"/>
        <v>0</v>
      </c>
      <c r="AK42" s="46">
        <f t="shared" si="8"/>
        <v>0</v>
      </c>
      <c r="AL42" s="150"/>
      <c r="AM42" s="151"/>
      <c r="AN42" s="151"/>
      <c r="AO42" s="152"/>
    </row>
    <row r="43" spans="1:41" ht="14.1" customHeight="1">
      <c r="A43" s="42">
        <v>15</v>
      </c>
      <c r="B43" s="52"/>
      <c r="C43" s="43"/>
      <c r="D43" s="43"/>
      <c r="E43" s="43"/>
      <c r="F43" s="43"/>
      <c r="G43" s="43"/>
      <c r="H43" s="22"/>
      <c r="I43" s="43"/>
      <c r="J43" s="43"/>
      <c r="K43" s="43"/>
      <c r="L43" s="43"/>
      <c r="M43" s="43"/>
      <c r="N43" s="43"/>
      <c r="O43" s="22"/>
      <c r="P43" s="43"/>
      <c r="Q43" s="43"/>
      <c r="R43" s="43"/>
      <c r="S43" s="43"/>
      <c r="T43" s="43"/>
      <c r="U43" s="43"/>
      <c r="V43" s="22"/>
      <c r="W43" s="43"/>
      <c r="X43" s="43"/>
      <c r="Y43" s="43"/>
      <c r="Z43" s="43"/>
      <c r="AA43" s="43"/>
      <c r="AB43" s="43"/>
      <c r="AC43" s="22"/>
      <c r="AD43" s="43"/>
      <c r="AE43" s="43"/>
      <c r="AF43" s="43"/>
      <c r="AG43" s="43"/>
      <c r="AH43" s="43"/>
      <c r="AI43" s="43"/>
      <c r="AJ43" s="46">
        <f t="shared" si="7"/>
        <v>0</v>
      </c>
      <c r="AK43" s="46">
        <f t="shared" si="8"/>
        <v>0</v>
      </c>
      <c r="AL43" s="150"/>
      <c r="AM43" s="151"/>
      <c r="AN43" s="151"/>
      <c r="AO43" s="152"/>
    </row>
    <row r="44" spans="1:41" ht="14.1" customHeight="1">
      <c r="A44" s="42">
        <v>16</v>
      </c>
      <c r="B44" s="52"/>
      <c r="C44" s="43"/>
      <c r="D44" s="43"/>
      <c r="E44" s="43"/>
      <c r="F44" s="43"/>
      <c r="G44" s="43"/>
      <c r="H44" s="22"/>
      <c r="I44" s="43"/>
      <c r="J44" s="43"/>
      <c r="K44" s="43"/>
      <c r="L44" s="43"/>
      <c r="M44" s="43"/>
      <c r="N44" s="43"/>
      <c r="O44" s="22"/>
      <c r="P44" s="43"/>
      <c r="Q44" s="43"/>
      <c r="R44" s="43"/>
      <c r="S44" s="43"/>
      <c r="T44" s="43"/>
      <c r="U44" s="43"/>
      <c r="V44" s="22"/>
      <c r="W44" s="43"/>
      <c r="X44" s="43"/>
      <c r="Y44" s="43"/>
      <c r="Z44" s="43"/>
      <c r="AA44" s="43"/>
      <c r="AB44" s="43"/>
      <c r="AC44" s="22"/>
      <c r="AD44" s="43"/>
      <c r="AE44" s="43"/>
      <c r="AF44" s="43"/>
      <c r="AG44" s="43"/>
      <c r="AH44" s="43"/>
      <c r="AI44" s="43"/>
      <c r="AJ44" s="46">
        <f t="shared" si="7"/>
        <v>0</v>
      </c>
      <c r="AK44" s="46">
        <f t="shared" si="8"/>
        <v>0</v>
      </c>
      <c r="AL44" s="150"/>
      <c r="AM44" s="151"/>
      <c r="AN44" s="151"/>
      <c r="AO44" s="152"/>
    </row>
    <row r="45" spans="1:41" ht="14.1" customHeight="1">
      <c r="A45" s="42">
        <v>17</v>
      </c>
      <c r="B45" s="52"/>
      <c r="C45" s="43"/>
      <c r="D45" s="43"/>
      <c r="E45" s="43"/>
      <c r="F45" s="43"/>
      <c r="G45" s="43"/>
      <c r="H45" s="22"/>
      <c r="I45" s="43"/>
      <c r="J45" s="43"/>
      <c r="K45" s="43"/>
      <c r="L45" s="43"/>
      <c r="M45" s="43"/>
      <c r="N45" s="43"/>
      <c r="O45" s="22"/>
      <c r="P45" s="43"/>
      <c r="Q45" s="43"/>
      <c r="R45" s="43"/>
      <c r="S45" s="43"/>
      <c r="T45" s="43"/>
      <c r="U45" s="43"/>
      <c r="V45" s="22"/>
      <c r="W45" s="43"/>
      <c r="X45" s="43"/>
      <c r="Y45" s="43"/>
      <c r="Z45" s="43"/>
      <c r="AA45" s="43"/>
      <c r="AB45" s="43"/>
      <c r="AC45" s="22"/>
      <c r="AD45" s="43"/>
      <c r="AE45" s="43"/>
      <c r="AF45" s="43"/>
      <c r="AG45" s="43"/>
      <c r="AH45" s="43"/>
      <c r="AI45" s="43"/>
      <c r="AJ45" s="46">
        <f t="shared" si="7"/>
        <v>0</v>
      </c>
      <c r="AK45" s="46">
        <f t="shared" si="8"/>
        <v>0</v>
      </c>
      <c r="AL45" s="150"/>
      <c r="AM45" s="151"/>
      <c r="AN45" s="151"/>
      <c r="AO45" s="152"/>
    </row>
    <row r="46" spans="1:41" ht="14.1" customHeight="1">
      <c r="A46" s="42">
        <v>18</v>
      </c>
      <c r="B46" s="52"/>
      <c r="C46" s="43"/>
      <c r="D46" s="43"/>
      <c r="E46" s="43"/>
      <c r="F46" s="43"/>
      <c r="G46" s="43"/>
      <c r="H46" s="22"/>
      <c r="I46" s="43"/>
      <c r="J46" s="43"/>
      <c r="K46" s="43"/>
      <c r="L46" s="43"/>
      <c r="M46" s="43"/>
      <c r="N46" s="43"/>
      <c r="O46" s="22"/>
      <c r="P46" s="43"/>
      <c r="Q46" s="43"/>
      <c r="R46" s="43"/>
      <c r="S46" s="43"/>
      <c r="T46" s="43"/>
      <c r="U46" s="43"/>
      <c r="V46" s="22"/>
      <c r="W46" s="43"/>
      <c r="X46" s="43"/>
      <c r="Y46" s="43"/>
      <c r="Z46" s="43"/>
      <c r="AA46" s="43"/>
      <c r="AB46" s="43"/>
      <c r="AC46" s="22"/>
      <c r="AD46" s="43"/>
      <c r="AE46" s="43"/>
      <c r="AF46" s="43"/>
      <c r="AG46" s="43"/>
      <c r="AH46" s="43"/>
      <c r="AI46" s="43"/>
      <c r="AJ46" s="46">
        <f t="shared" si="7"/>
        <v>0</v>
      </c>
      <c r="AK46" s="46">
        <f t="shared" si="8"/>
        <v>0</v>
      </c>
      <c r="AL46" s="150"/>
      <c r="AM46" s="151"/>
      <c r="AN46" s="151"/>
      <c r="AO46" s="152"/>
    </row>
    <row r="47" spans="1:41" ht="14.1" customHeight="1">
      <c r="A47" s="42">
        <v>19</v>
      </c>
      <c r="B47" s="56"/>
      <c r="C47" s="43"/>
      <c r="D47" s="43"/>
      <c r="E47" s="43"/>
      <c r="F47" s="43"/>
      <c r="G47" s="43"/>
      <c r="H47" s="22"/>
      <c r="I47" s="43"/>
      <c r="J47" s="43"/>
      <c r="K47" s="43"/>
      <c r="L47" s="43"/>
      <c r="M47" s="43"/>
      <c r="N47" s="43"/>
      <c r="O47" s="22"/>
      <c r="P47" s="43"/>
      <c r="Q47" s="43"/>
      <c r="R47" s="43"/>
      <c r="S47" s="43"/>
      <c r="T47" s="43"/>
      <c r="U47" s="43"/>
      <c r="V47" s="22"/>
      <c r="W47" s="43"/>
      <c r="X47" s="43"/>
      <c r="Y47" s="43"/>
      <c r="Z47" s="43"/>
      <c r="AA47" s="43"/>
      <c r="AB47" s="43"/>
      <c r="AC47" s="22"/>
      <c r="AD47" s="43"/>
      <c r="AE47" s="43"/>
      <c r="AF47" s="43"/>
      <c r="AG47" s="43"/>
      <c r="AH47" s="43"/>
      <c r="AI47" s="43"/>
      <c r="AJ47" s="46">
        <f t="shared" si="7"/>
        <v>0</v>
      </c>
      <c r="AK47" s="46">
        <f t="shared" si="8"/>
        <v>0</v>
      </c>
      <c r="AL47" s="150"/>
      <c r="AM47" s="151"/>
      <c r="AN47" s="151"/>
      <c r="AO47" s="152"/>
    </row>
    <row r="48" spans="1:41" ht="14.1" customHeight="1">
      <c r="A48" s="42">
        <v>20</v>
      </c>
      <c r="B48" s="52"/>
      <c r="C48" s="43"/>
      <c r="D48" s="43"/>
      <c r="E48" s="43"/>
      <c r="F48" s="43"/>
      <c r="G48" s="43"/>
      <c r="H48" s="22"/>
      <c r="I48" s="43"/>
      <c r="J48" s="43"/>
      <c r="K48" s="43"/>
      <c r="L48" s="43"/>
      <c r="M48" s="43"/>
      <c r="N48" s="43"/>
      <c r="O48" s="22"/>
      <c r="P48" s="43"/>
      <c r="Q48" s="43"/>
      <c r="R48" s="43"/>
      <c r="S48" s="43"/>
      <c r="T48" s="43"/>
      <c r="U48" s="43"/>
      <c r="V48" s="22"/>
      <c r="W48" s="43"/>
      <c r="X48" s="43"/>
      <c r="Y48" s="43"/>
      <c r="Z48" s="43"/>
      <c r="AA48" s="43"/>
      <c r="AB48" s="43"/>
      <c r="AC48" s="22"/>
      <c r="AD48" s="43"/>
      <c r="AE48" s="43"/>
      <c r="AF48" s="43"/>
      <c r="AG48" s="43"/>
      <c r="AH48" s="43"/>
      <c r="AI48" s="43"/>
      <c r="AJ48" s="46">
        <f t="shared" si="7"/>
        <v>0</v>
      </c>
      <c r="AK48" s="46">
        <f t="shared" si="8"/>
        <v>0</v>
      </c>
      <c r="AL48" s="150"/>
      <c r="AM48" s="151"/>
      <c r="AN48" s="151"/>
      <c r="AO48" s="152"/>
    </row>
    <row r="49" spans="1:41" ht="14.1" customHeight="1">
      <c r="A49" s="42">
        <v>21</v>
      </c>
      <c r="B49" s="52"/>
      <c r="C49" s="43"/>
      <c r="D49" s="43"/>
      <c r="E49" s="43"/>
      <c r="F49" s="43"/>
      <c r="G49" s="43"/>
      <c r="H49" s="22"/>
      <c r="I49" s="43"/>
      <c r="J49" s="43"/>
      <c r="K49" s="43"/>
      <c r="L49" s="43"/>
      <c r="M49" s="43"/>
      <c r="N49" s="43"/>
      <c r="O49" s="22"/>
      <c r="P49" s="43"/>
      <c r="Q49" s="43"/>
      <c r="R49" s="43"/>
      <c r="S49" s="43"/>
      <c r="T49" s="43"/>
      <c r="U49" s="43"/>
      <c r="V49" s="22"/>
      <c r="W49" s="43"/>
      <c r="X49" s="43"/>
      <c r="Y49" s="43"/>
      <c r="Z49" s="43"/>
      <c r="AA49" s="43"/>
      <c r="AB49" s="43"/>
      <c r="AC49" s="22"/>
      <c r="AD49" s="43"/>
      <c r="AE49" s="43"/>
      <c r="AF49" s="43"/>
      <c r="AG49" s="43"/>
      <c r="AH49" s="43"/>
      <c r="AI49" s="43"/>
      <c r="AJ49" s="46">
        <f t="shared" si="7"/>
        <v>0</v>
      </c>
      <c r="AK49" s="46">
        <f t="shared" si="8"/>
        <v>0</v>
      </c>
      <c r="AL49" s="150"/>
      <c r="AM49" s="151"/>
      <c r="AN49" s="151"/>
      <c r="AO49" s="152"/>
    </row>
    <row r="50" spans="1:41" ht="14.1" customHeight="1">
      <c r="A50" s="42">
        <v>22</v>
      </c>
      <c r="B50" s="52"/>
      <c r="C50" s="43"/>
      <c r="D50" s="43"/>
      <c r="E50" s="43"/>
      <c r="F50" s="43"/>
      <c r="G50" s="43"/>
      <c r="H50" s="22"/>
      <c r="I50" s="43"/>
      <c r="J50" s="43"/>
      <c r="K50" s="43"/>
      <c r="L50" s="43"/>
      <c r="M50" s="43"/>
      <c r="N50" s="43"/>
      <c r="O50" s="22"/>
      <c r="P50" s="43"/>
      <c r="Q50" s="43"/>
      <c r="R50" s="43"/>
      <c r="S50" s="43"/>
      <c r="T50" s="43"/>
      <c r="U50" s="43"/>
      <c r="V50" s="22"/>
      <c r="W50" s="43"/>
      <c r="X50" s="43"/>
      <c r="Y50" s="43"/>
      <c r="Z50" s="43"/>
      <c r="AA50" s="43"/>
      <c r="AB50" s="43"/>
      <c r="AC50" s="22"/>
      <c r="AD50" s="43"/>
      <c r="AE50" s="43"/>
      <c r="AF50" s="43"/>
      <c r="AG50" s="43"/>
      <c r="AH50" s="43"/>
      <c r="AI50" s="43"/>
      <c r="AJ50" s="46">
        <f t="shared" si="7"/>
        <v>0</v>
      </c>
      <c r="AK50" s="46">
        <f t="shared" si="8"/>
        <v>0</v>
      </c>
      <c r="AL50" s="39"/>
      <c r="AM50" s="40"/>
      <c r="AN50" s="40"/>
      <c r="AO50" s="41"/>
    </row>
    <row r="51" spans="1:41" ht="14.1" customHeight="1">
      <c r="A51" s="42">
        <v>23</v>
      </c>
      <c r="B51" s="52"/>
      <c r="C51" s="43"/>
      <c r="D51" s="43"/>
      <c r="E51" s="43"/>
      <c r="F51" s="43"/>
      <c r="G51" s="43"/>
      <c r="H51" s="22"/>
      <c r="I51" s="43"/>
      <c r="J51" s="43"/>
      <c r="K51" s="43"/>
      <c r="L51" s="43"/>
      <c r="M51" s="43"/>
      <c r="N51" s="43"/>
      <c r="O51" s="22"/>
      <c r="P51" s="43"/>
      <c r="Q51" s="43"/>
      <c r="R51" s="43"/>
      <c r="S51" s="43"/>
      <c r="T51" s="43"/>
      <c r="U51" s="43"/>
      <c r="V51" s="22"/>
      <c r="W51" s="43"/>
      <c r="X51" s="43"/>
      <c r="Y51" s="43"/>
      <c r="Z51" s="43"/>
      <c r="AA51" s="43"/>
      <c r="AB51" s="43"/>
      <c r="AC51" s="22"/>
      <c r="AD51" s="43"/>
      <c r="AE51" s="43"/>
      <c r="AF51" s="43"/>
      <c r="AG51" s="43"/>
      <c r="AH51" s="43"/>
      <c r="AI51" s="43"/>
      <c r="AJ51" s="46">
        <f t="shared" si="7"/>
        <v>0</v>
      </c>
      <c r="AK51" s="46">
        <f t="shared" si="8"/>
        <v>0</v>
      </c>
      <c r="AL51" s="39"/>
      <c r="AM51" s="40"/>
      <c r="AN51" s="40"/>
      <c r="AO51" s="41"/>
    </row>
    <row r="52" spans="1:41" ht="14.1" customHeight="1">
      <c r="A52" s="42">
        <v>24</v>
      </c>
      <c r="B52" s="52"/>
      <c r="C52" s="43"/>
      <c r="D52" s="43"/>
      <c r="E52" s="43"/>
      <c r="F52" s="43"/>
      <c r="G52" s="43"/>
      <c r="H52" s="22"/>
      <c r="I52" s="43"/>
      <c r="J52" s="43"/>
      <c r="K52" s="43"/>
      <c r="L52" s="43"/>
      <c r="M52" s="43"/>
      <c r="N52" s="43"/>
      <c r="O52" s="22"/>
      <c r="P52" s="43"/>
      <c r="Q52" s="43"/>
      <c r="R52" s="43"/>
      <c r="S52" s="43"/>
      <c r="T52" s="43"/>
      <c r="U52" s="43"/>
      <c r="V52" s="22"/>
      <c r="W52" s="43"/>
      <c r="X52" s="43"/>
      <c r="Y52" s="43"/>
      <c r="Z52" s="43"/>
      <c r="AA52" s="43"/>
      <c r="AB52" s="43"/>
      <c r="AC52" s="22"/>
      <c r="AD52" s="43"/>
      <c r="AE52" s="43"/>
      <c r="AF52" s="43"/>
      <c r="AG52" s="43"/>
      <c r="AH52" s="43"/>
      <c r="AI52" s="43"/>
      <c r="AJ52" s="46">
        <f t="shared" si="7"/>
        <v>0</v>
      </c>
      <c r="AK52" s="46">
        <f t="shared" si="8"/>
        <v>0</v>
      </c>
      <c r="AL52" s="39"/>
      <c r="AM52" s="40"/>
      <c r="AN52" s="40"/>
      <c r="AO52" s="41"/>
    </row>
    <row r="53" spans="1:41" ht="14.1" customHeight="1">
      <c r="A53" s="42">
        <v>25</v>
      </c>
      <c r="B53" s="52"/>
      <c r="C53" s="43"/>
      <c r="D53" s="43"/>
      <c r="E53" s="43"/>
      <c r="F53" s="43"/>
      <c r="G53" s="43"/>
      <c r="H53" s="22"/>
      <c r="I53" s="43"/>
      <c r="J53" s="43"/>
      <c r="K53" s="43"/>
      <c r="L53" s="43"/>
      <c r="M53" s="43"/>
      <c r="N53" s="43"/>
      <c r="O53" s="22"/>
      <c r="P53" s="43"/>
      <c r="Q53" s="43"/>
      <c r="R53" s="43"/>
      <c r="S53" s="43"/>
      <c r="T53" s="43"/>
      <c r="U53" s="43"/>
      <c r="V53" s="22"/>
      <c r="W53" s="43"/>
      <c r="X53" s="43"/>
      <c r="Y53" s="43"/>
      <c r="Z53" s="43"/>
      <c r="AA53" s="43"/>
      <c r="AB53" s="43"/>
      <c r="AC53" s="22"/>
      <c r="AD53" s="43"/>
      <c r="AE53" s="43"/>
      <c r="AF53" s="43"/>
      <c r="AG53" s="43"/>
      <c r="AH53" s="43"/>
      <c r="AI53" s="43"/>
      <c r="AJ53" s="46">
        <f t="shared" si="7"/>
        <v>0</v>
      </c>
      <c r="AK53" s="46">
        <f t="shared" si="8"/>
        <v>0</v>
      </c>
      <c r="AL53" s="39"/>
      <c r="AM53" s="40"/>
      <c r="AN53" s="40"/>
      <c r="AO53" s="41"/>
    </row>
    <row r="54" spans="1:41" ht="14.1" customHeight="1">
      <c r="A54" s="42">
        <v>26</v>
      </c>
      <c r="B54" s="52"/>
      <c r="C54" s="43"/>
      <c r="D54" s="43"/>
      <c r="E54" s="43"/>
      <c r="F54" s="43"/>
      <c r="G54" s="43"/>
      <c r="H54" s="22"/>
      <c r="I54" s="43"/>
      <c r="J54" s="43"/>
      <c r="K54" s="43"/>
      <c r="L54" s="43"/>
      <c r="M54" s="43"/>
      <c r="N54" s="43"/>
      <c r="O54" s="22"/>
      <c r="P54" s="43"/>
      <c r="Q54" s="43"/>
      <c r="R54" s="43"/>
      <c r="S54" s="43"/>
      <c r="T54" s="43"/>
      <c r="U54" s="43"/>
      <c r="V54" s="22"/>
      <c r="W54" s="43"/>
      <c r="X54" s="43"/>
      <c r="Y54" s="43"/>
      <c r="Z54" s="43"/>
      <c r="AA54" s="43"/>
      <c r="AB54" s="43"/>
      <c r="AC54" s="22"/>
      <c r="AD54" s="43"/>
      <c r="AE54" s="43"/>
      <c r="AF54" s="43"/>
      <c r="AG54" s="43"/>
      <c r="AH54" s="43"/>
      <c r="AI54" s="43"/>
      <c r="AJ54" s="46">
        <f t="shared" si="7"/>
        <v>0</v>
      </c>
      <c r="AK54" s="46">
        <f t="shared" si="8"/>
        <v>0</v>
      </c>
      <c r="AL54" s="39"/>
      <c r="AM54" s="40"/>
      <c r="AN54" s="40"/>
      <c r="AO54" s="41"/>
    </row>
    <row r="55" spans="1:41" ht="14.1" customHeight="1">
      <c r="A55" s="42">
        <v>27</v>
      </c>
      <c r="B55" s="52"/>
      <c r="C55" s="43"/>
      <c r="D55" s="43"/>
      <c r="E55" s="43"/>
      <c r="F55" s="43"/>
      <c r="G55" s="43"/>
      <c r="H55" s="22"/>
      <c r="I55" s="43"/>
      <c r="J55" s="43"/>
      <c r="K55" s="43"/>
      <c r="L55" s="43"/>
      <c r="M55" s="43"/>
      <c r="N55" s="43"/>
      <c r="O55" s="22"/>
      <c r="P55" s="43"/>
      <c r="Q55" s="43"/>
      <c r="R55" s="43"/>
      <c r="S55" s="43"/>
      <c r="T55" s="43"/>
      <c r="U55" s="43"/>
      <c r="V55" s="22"/>
      <c r="W55" s="43"/>
      <c r="X55" s="43"/>
      <c r="Y55" s="43"/>
      <c r="Z55" s="43"/>
      <c r="AA55" s="43"/>
      <c r="AB55" s="43"/>
      <c r="AC55" s="22"/>
      <c r="AD55" s="43"/>
      <c r="AE55" s="43"/>
      <c r="AF55" s="43"/>
      <c r="AG55" s="43"/>
      <c r="AH55" s="43"/>
      <c r="AI55" s="43"/>
      <c r="AJ55" s="46">
        <f t="shared" si="7"/>
        <v>0</v>
      </c>
      <c r="AK55" s="46">
        <f t="shared" si="8"/>
        <v>0</v>
      </c>
      <c r="AL55" s="39"/>
      <c r="AM55" s="40"/>
      <c r="AN55" s="40"/>
      <c r="AO55" s="41"/>
    </row>
    <row r="56" spans="1:41" ht="14.1" customHeight="1">
      <c r="A56" s="42">
        <v>28</v>
      </c>
      <c r="B56" s="52"/>
      <c r="C56" s="43"/>
      <c r="D56" s="43"/>
      <c r="E56" s="43"/>
      <c r="F56" s="43"/>
      <c r="G56" s="43"/>
      <c r="H56" s="22"/>
      <c r="I56" s="43"/>
      <c r="J56" s="43"/>
      <c r="K56" s="43"/>
      <c r="L56" s="43"/>
      <c r="M56" s="43"/>
      <c r="N56" s="43"/>
      <c r="O56" s="22"/>
      <c r="P56" s="43"/>
      <c r="Q56" s="43"/>
      <c r="R56" s="43"/>
      <c r="S56" s="43"/>
      <c r="T56" s="43"/>
      <c r="U56" s="43"/>
      <c r="V56" s="22"/>
      <c r="W56" s="43"/>
      <c r="X56" s="43"/>
      <c r="Y56" s="43"/>
      <c r="Z56" s="43"/>
      <c r="AA56" s="43"/>
      <c r="AB56" s="43"/>
      <c r="AC56" s="22"/>
      <c r="AD56" s="43"/>
      <c r="AE56" s="43"/>
      <c r="AF56" s="43"/>
      <c r="AG56" s="43"/>
      <c r="AH56" s="43"/>
      <c r="AI56" s="43"/>
      <c r="AJ56" s="46">
        <f t="shared" si="7"/>
        <v>0</v>
      </c>
      <c r="AK56" s="46">
        <f t="shared" si="8"/>
        <v>0</v>
      </c>
      <c r="AL56" s="39"/>
      <c r="AM56" s="40"/>
      <c r="AN56" s="40"/>
      <c r="AO56" s="41"/>
    </row>
    <row r="57" spans="1:41" ht="14.1" customHeight="1">
      <c r="A57" s="42">
        <v>29</v>
      </c>
      <c r="B57" s="52"/>
      <c r="C57" s="43"/>
      <c r="D57" s="43"/>
      <c r="E57" s="43"/>
      <c r="F57" s="43"/>
      <c r="G57" s="43"/>
      <c r="H57" s="22"/>
      <c r="I57" s="43"/>
      <c r="J57" s="43"/>
      <c r="K57" s="43"/>
      <c r="L57" s="43"/>
      <c r="M57" s="43"/>
      <c r="N57" s="43"/>
      <c r="O57" s="22"/>
      <c r="P57" s="43"/>
      <c r="Q57" s="43"/>
      <c r="R57" s="43"/>
      <c r="S57" s="43"/>
      <c r="T57" s="43"/>
      <c r="U57" s="43"/>
      <c r="V57" s="22"/>
      <c r="W57" s="43"/>
      <c r="X57" s="43"/>
      <c r="Y57" s="43"/>
      <c r="Z57" s="43"/>
      <c r="AA57" s="43"/>
      <c r="AB57" s="43"/>
      <c r="AC57" s="22"/>
      <c r="AD57" s="43"/>
      <c r="AE57" s="43"/>
      <c r="AF57" s="43"/>
      <c r="AG57" s="43"/>
      <c r="AH57" s="43"/>
      <c r="AI57" s="43"/>
      <c r="AJ57" s="46">
        <f t="shared" si="7"/>
        <v>0</v>
      </c>
      <c r="AK57" s="46">
        <f t="shared" si="8"/>
        <v>0</v>
      </c>
      <c r="AL57" s="39"/>
      <c r="AM57" s="40"/>
      <c r="AN57" s="40"/>
      <c r="AO57" s="41"/>
    </row>
    <row r="58" spans="1:41" ht="14.1" customHeight="1">
      <c r="A58" s="42">
        <v>30</v>
      </c>
      <c r="B58" s="52"/>
      <c r="C58" s="43"/>
      <c r="D58" s="43"/>
      <c r="E58" s="43"/>
      <c r="F58" s="43"/>
      <c r="G58" s="43"/>
      <c r="H58" s="22"/>
      <c r="I58" s="43"/>
      <c r="J58" s="43"/>
      <c r="K58" s="43"/>
      <c r="L58" s="43"/>
      <c r="M58" s="43"/>
      <c r="N58" s="43"/>
      <c r="O58" s="22"/>
      <c r="P58" s="43"/>
      <c r="Q58" s="43"/>
      <c r="R58" s="43"/>
      <c r="S58" s="43"/>
      <c r="T58" s="43"/>
      <c r="U58" s="43"/>
      <c r="V58" s="22"/>
      <c r="W58" s="43"/>
      <c r="X58" s="43"/>
      <c r="Y58" s="43"/>
      <c r="Z58" s="43"/>
      <c r="AA58" s="43"/>
      <c r="AB58" s="43"/>
      <c r="AC58" s="22"/>
      <c r="AD58" s="43"/>
      <c r="AE58" s="43"/>
      <c r="AF58" s="43"/>
      <c r="AG58" s="43"/>
      <c r="AH58" s="43"/>
      <c r="AI58" s="43"/>
      <c r="AJ58" s="46">
        <f t="shared" si="7"/>
        <v>0</v>
      </c>
      <c r="AK58" s="46">
        <f t="shared" si="8"/>
        <v>0</v>
      </c>
      <c r="AL58" s="39"/>
      <c r="AM58" s="40"/>
      <c r="AN58" s="40"/>
      <c r="AO58" s="41"/>
    </row>
    <row r="59" spans="1:41" ht="14.1" customHeight="1">
      <c r="A59" s="42">
        <v>31</v>
      </c>
      <c r="B59" s="52"/>
      <c r="C59" s="43"/>
      <c r="D59" s="43"/>
      <c r="E59" s="43"/>
      <c r="F59" s="43"/>
      <c r="G59" s="43"/>
      <c r="H59" s="22"/>
      <c r="I59" s="43"/>
      <c r="J59" s="43"/>
      <c r="K59" s="43"/>
      <c r="L59" s="43"/>
      <c r="M59" s="43"/>
      <c r="N59" s="43"/>
      <c r="O59" s="22"/>
      <c r="P59" s="43"/>
      <c r="Q59" s="43"/>
      <c r="R59" s="43"/>
      <c r="S59" s="43"/>
      <c r="T59" s="43"/>
      <c r="U59" s="43"/>
      <c r="V59" s="22"/>
      <c r="W59" s="43"/>
      <c r="X59" s="43"/>
      <c r="Y59" s="43"/>
      <c r="Z59" s="43"/>
      <c r="AA59" s="43"/>
      <c r="AB59" s="43"/>
      <c r="AC59" s="22"/>
      <c r="AD59" s="43"/>
      <c r="AE59" s="43"/>
      <c r="AF59" s="43"/>
      <c r="AG59" s="43"/>
      <c r="AH59" s="43"/>
      <c r="AI59" s="43"/>
      <c r="AJ59" s="46">
        <f t="shared" si="7"/>
        <v>0</v>
      </c>
      <c r="AK59" s="46">
        <f t="shared" si="8"/>
        <v>0</v>
      </c>
      <c r="AL59" s="39"/>
      <c r="AM59" s="40"/>
      <c r="AN59" s="40"/>
      <c r="AO59" s="41"/>
    </row>
    <row r="60" spans="1:41" ht="14.1" customHeight="1">
      <c r="A60" s="42">
        <v>32</v>
      </c>
      <c r="B60" s="52"/>
      <c r="C60" s="43"/>
      <c r="D60" s="43"/>
      <c r="E60" s="43"/>
      <c r="F60" s="43"/>
      <c r="G60" s="43"/>
      <c r="H60" s="22"/>
      <c r="I60" s="43"/>
      <c r="J60" s="43"/>
      <c r="K60" s="43"/>
      <c r="L60" s="43"/>
      <c r="M60" s="43"/>
      <c r="N60" s="43"/>
      <c r="O60" s="22"/>
      <c r="P60" s="43"/>
      <c r="Q60" s="43"/>
      <c r="R60" s="43"/>
      <c r="S60" s="43"/>
      <c r="T60" s="43"/>
      <c r="U60" s="43"/>
      <c r="V60" s="22"/>
      <c r="W60" s="43"/>
      <c r="X60" s="43"/>
      <c r="Y60" s="43"/>
      <c r="Z60" s="43"/>
      <c r="AA60" s="43"/>
      <c r="AB60" s="43"/>
      <c r="AC60" s="22"/>
      <c r="AD60" s="43"/>
      <c r="AE60" s="43"/>
      <c r="AF60" s="43"/>
      <c r="AG60" s="43"/>
      <c r="AH60" s="43"/>
      <c r="AI60" s="43"/>
      <c r="AJ60" s="46">
        <f t="shared" si="7"/>
        <v>0</v>
      </c>
      <c r="AK60" s="46">
        <f t="shared" si="8"/>
        <v>0</v>
      </c>
      <c r="AL60" s="39"/>
      <c r="AM60" s="40"/>
      <c r="AN60" s="40"/>
      <c r="AO60" s="41"/>
    </row>
    <row r="61" spans="1:41" ht="14.1" customHeight="1">
      <c r="A61" s="42">
        <v>33</v>
      </c>
      <c r="B61" s="52"/>
      <c r="C61" s="43"/>
      <c r="D61" s="43"/>
      <c r="E61" s="43"/>
      <c r="F61" s="43"/>
      <c r="G61" s="43"/>
      <c r="H61" s="22"/>
      <c r="I61" s="43"/>
      <c r="J61" s="43"/>
      <c r="K61" s="43"/>
      <c r="L61" s="43"/>
      <c r="M61" s="43"/>
      <c r="N61" s="43"/>
      <c r="O61" s="22"/>
      <c r="P61" s="43"/>
      <c r="Q61" s="43"/>
      <c r="R61" s="43"/>
      <c r="S61" s="43"/>
      <c r="T61" s="43"/>
      <c r="U61" s="43"/>
      <c r="V61" s="22"/>
      <c r="W61" s="43"/>
      <c r="X61" s="43"/>
      <c r="Y61" s="43"/>
      <c r="Z61" s="43"/>
      <c r="AA61" s="43"/>
      <c r="AB61" s="43"/>
      <c r="AC61" s="22"/>
      <c r="AD61" s="43"/>
      <c r="AE61" s="43"/>
      <c r="AF61" s="43"/>
      <c r="AG61" s="43"/>
      <c r="AH61" s="43"/>
      <c r="AI61" s="43"/>
      <c r="AJ61" s="46">
        <f t="shared" si="7"/>
        <v>0</v>
      </c>
      <c r="AK61" s="46">
        <f t="shared" si="8"/>
        <v>0</v>
      </c>
      <c r="AL61" s="39"/>
      <c r="AM61" s="40"/>
      <c r="AN61" s="40"/>
      <c r="AO61" s="41"/>
    </row>
    <row r="62" spans="1:41" ht="14.1" customHeight="1">
      <c r="A62" s="42">
        <v>34</v>
      </c>
      <c r="B62" s="56"/>
      <c r="C62" s="43"/>
      <c r="D62" s="43"/>
      <c r="E62" s="43"/>
      <c r="F62" s="43"/>
      <c r="G62" s="43"/>
      <c r="H62" s="22"/>
      <c r="I62" s="43"/>
      <c r="J62" s="43"/>
      <c r="K62" s="43"/>
      <c r="L62" s="43"/>
      <c r="M62" s="43"/>
      <c r="N62" s="43"/>
      <c r="O62" s="22"/>
      <c r="P62" s="43"/>
      <c r="Q62" s="43"/>
      <c r="R62" s="43"/>
      <c r="S62" s="43"/>
      <c r="T62" s="43"/>
      <c r="U62" s="43"/>
      <c r="V62" s="22"/>
      <c r="W62" s="43"/>
      <c r="X62" s="43"/>
      <c r="Y62" s="43"/>
      <c r="Z62" s="43"/>
      <c r="AA62" s="43"/>
      <c r="AB62" s="43"/>
      <c r="AC62" s="22"/>
      <c r="AD62" s="43"/>
      <c r="AE62" s="43"/>
      <c r="AF62" s="43"/>
      <c r="AG62" s="43"/>
      <c r="AH62" s="43"/>
      <c r="AI62" s="43"/>
      <c r="AJ62" s="46">
        <f t="shared" si="7"/>
        <v>0</v>
      </c>
      <c r="AK62" s="46">
        <f t="shared" si="8"/>
        <v>0</v>
      </c>
      <c r="AL62" s="39"/>
      <c r="AM62" s="40"/>
      <c r="AN62" s="40"/>
      <c r="AO62" s="41"/>
    </row>
    <row r="63" spans="1:41" ht="14.1" customHeight="1">
      <c r="A63" s="42">
        <v>35</v>
      </c>
      <c r="B63" s="52"/>
      <c r="C63" s="43"/>
      <c r="D63" s="43"/>
      <c r="E63" s="43"/>
      <c r="F63" s="43"/>
      <c r="G63" s="43"/>
      <c r="H63" s="22"/>
      <c r="I63" s="43"/>
      <c r="J63" s="43"/>
      <c r="K63" s="43"/>
      <c r="L63" s="43"/>
      <c r="M63" s="43"/>
      <c r="N63" s="43"/>
      <c r="O63" s="22"/>
      <c r="P63" s="43"/>
      <c r="Q63" s="43"/>
      <c r="R63" s="43"/>
      <c r="S63" s="43"/>
      <c r="T63" s="43"/>
      <c r="U63" s="43"/>
      <c r="V63" s="22"/>
      <c r="W63" s="43"/>
      <c r="X63" s="43"/>
      <c r="Y63" s="43"/>
      <c r="Z63" s="43"/>
      <c r="AA63" s="43"/>
      <c r="AB63" s="43"/>
      <c r="AC63" s="22"/>
      <c r="AD63" s="43"/>
      <c r="AE63" s="43"/>
      <c r="AF63" s="43"/>
      <c r="AG63" s="43"/>
      <c r="AH63" s="43"/>
      <c r="AI63" s="43"/>
      <c r="AJ63" s="46">
        <f t="shared" si="7"/>
        <v>0</v>
      </c>
      <c r="AK63" s="46">
        <f t="shared" si="8"/>
        <v>0</v>
      </c>
      <c r="AL63" s="150"/>
      <c r="AM63" s="151"/>
      <c r="AN63" s="151"/>
      <c r="AO63" s="152"/>
    </row>
    <row r="64" spans="1:41" ht="14.1" customHeight="1" thickBot="1">
      <c r="A64" s="50">
        <v>36</v>
      </c>
      <c r="B64" s="57"/>
      <c r="C64" s="43"/>
      <c r="D64" s="43"/>
      <c r="E64" s="43"/>
      <c r="F64" s="43"/>
      <c r="G64" s="43"/>
      <c r="H64" s="22"/>
      <c r="I64" s="43"/>
      <c r="J64" s="43"/>
      <c r="K64" s="43"/>
      <c r="L64" s="43"/>
      <c r="M64" s="43"/>
      <c r="N64" s="43"/>
      <c r="O64" s="22"/>
      <c r="P64" s="43"/>
      <c r="Q64" s="43"/>
      <c r="R64" s="43"/>
      <c r="S64" s="43"/>
      <c r="T64" s="43"/>
      <c r="U64" s="43"/>
      <c r="V64" s="22"/>
      <c r="W64" s="43"/>
      <c r="X64" s="43"/>
      <c r="Y64" s="43"/>
      <c r="Z64" s="43"/>
      <c r="AA64" s="43"/>
      <c r="AB64" s="43"/>
      <c r="AC64" s="22"/>
      <c r="AD64" s="43"/>
      <c r="AE64" s="43"/>
      <c r="AF64" s="43"/>
      <c r="AG64" s="43"/>
      <c r="AH64" s="43"/>
      <c r="AI64" s="43"/>
      <c r="AJ64" s="46">
        <f t="shared" si="7"/>
        <v>0</v>
      </c>
      <c r="AK64" s="46">
        <f t="shared" si="8"/>
        <v>0</v>
      </c>
      <c r="AL64" s="150"/>
      <c r="AM64" s="151"/>
      <c r="AN64" s="151"/>
      <c r="AO64" s="152"/>
    </row>
    <row r="65" spans="1:41" ht="15.75" thickBot="1">
      <c r="A65" s="139" t="s">
        <v>35</v>
      </c>
      <c r="B65" s="140"/>
      <c r="C65" s="48"/>
      <c r="D65" s="48"/>
      <c r="E65" s="48">
        <f t="shared" ref="E65:G65" si="9">ROWS(E29:E64) - COUNTIF(E29:E64,"X")</f>
        <v>36</v>
      </c>
      <c r="F65" s="48">
        <f t="shared" si="9"/>
        <v>36</v>
      </c>
      <c r="G65" s="48">
        <f t="shared" si="9"/>
        <v>36</v>
      </c>
      <c r="H65" s="45">
        <f t="shared" ref="H65:AC65" si="10">COUNTIF(H29:H64,"X")</f>
        <v>0</v>
      </c>
      <c r="I65" s="48">
        <f t="shared" ref="I65:N65" si="11">ROWS(I29:I64) - COUNTIF(I29:I64,"X")</f>
        <v>36</v>
      </c>
      <c r="J65" s="48">
        <f t="shared" si="11"/>
        <v>36</v>
      </c>
      <c r="K65" s="48">
        <f t="shared" si="11"/>
        <v>36</v>
      </c>
      <c r="L65" s="48">
        <f t="shared" si="11"/>
        <v>36</v>
      </c>
      <c r="M65" s="48">
        <f t="shared" si="11"/>
        <v>36</v>
      </c>
      <c r="N65" s="48">
        <f t="shared" si="11"/>
        <v>36</v>
      </c>
      <c r="O65" s="45">
        <f t="shared" si="10"/>
        <v>0</v>
      </c>
      <c r="P65" s="48">
        <f t="shared" ref="P65:U65" si="12">ROWS(P29:P64) - COUNTIF(P29:P64,"X")</f>
        <v>36</v>
      </c>
      <c r="Q65" s="48">
        <f t="shared" si="12"/>
        <v>36</v>
      </c>
      <c r="R65" s="48">
        <f t="shared" si="12"/>
        <v>36</v>
      </c>
      <c r="S65" s="48">
        <f t="shared" si="12"/>
        <v>36</v>
      </c>
      <c r="T65" s="48">
        <f t="shared" si="12"/>
        <v>36</v>
      </c>
      <c r="U65" s="48">
        <f t="shared" si="12"/>
        <v>36</v>
      </c>
      <c r="V65" s="45">
        <f t="shared" si="10"/>
        <v>0</v>
      </c>
      <c r="W65" s="48">
        <f t="shared" ref="W65:AB65" si="13">ROWS(W29:W64) - COUNTIF(W29:W64,"X")</f>
        <v>36</v>
      </c>
      <c r="X65" s="48">
        <f t="shared" si="13"/>
        <v>36</v>
      </c>
      <c r="Y65" s="48">
        <f t="shared" si="13"/>
        <v>36</v>
      </c>
      <c r="Z65" s="48">
        <f t="shared" si="13"/>
        <v>36</v>
      </c>
      <c r="AA65" s="48">
        <f t="shared" si="13"/>
        <v>36</v>
      </c>
      <c r="AB65" s="48">
        <f t="shared" si="13"/>
        <v>36</v>
      </c>
      <c r="AC65" s="45">
        <f t="shared" si="10"/>
        <v>0</v>
      </c>
      <c r="AD65" s="48">
        <f t="shared" ref="AD65:AF65" si="14">ROWS(AD29:AD64) - COUNTIF(AD29:AD64,"X")</f>
        <v>36</v>
      </c>
      <c r="AE65" s="48">
        <f t="shared" si="14"/>
        <v>36</v>
      </c>
      <c r="AF65" s="48">
        <f t="shared" si="14"/>
        <v>36</v>
      </c>
      <c r="AG65" s="48">
        <f t="shared" ref="AG65:AI65" si="15">ROWS(AG29:AG64) - COUNTIF(AG29:AG64,"X")</f>
        <v>36</v>
      </c>
      <c r="AH65" s="48">
        <f t="shared" si="15"/>
        <v>36</v>
      </c>
      <c r="AI65" s="48">
        <f t="shared" si="15"/>
        <v>36</v>
      </c>
      <c r="AJ65" s="47">
        <f>SUM(AJ29:AJ64)</f>
        <v>0</v>
      </c>
      <c r="AK65" s="47">
        <f>SUM(AK29:AK64)</f>
        <v>0</v>
      </c>
      <c r="AL65" s="141">
        <f>SUM(C65:AI65)</f>
        <v>972</v>
      </c>
      <c r="AM65" s="141"/>
      <c r="AN65" s="141"/>
      <c r="AO65" s="142"/>
    </row>
    <row r="66" spans="1:41" ht="15" customHeight="1" thickBot="1">
      <c r="A66" s="139" t="s">
        <v>36</v>
      </c>
      <c r="B66" s="140"/>
      <c r="C66" s="44"/>
      <c r="D66" s="44"/>
      <c r="E66" s="44">
        <f>SUM(E28,E65)</f>
        <v>49</v>
      </c>
      <c r="F66" s="44">
        <f>SUM(F28,F65)</f>
        <v>50</v>
      </c>
      <c r="G66" s="44">
        <f>SUM(G28,G65)</f>
        <v>50</v>
      </c>
      <c r="H66" s="21"/>
      <c r="I66" s="44">
        <f t="shared" ref="I66:N66" si="16">SUM(I28,I65)</f>
        <v>50</v>
      </c>
      <c r="J66" s="44">
        <f t="shared" si="16"/>
        <v>50</v>
      </c>
      <c r="K66" s="44">
        <f t="shared" si="16"/>
        <v>50</v>
      </c>
      <c r="L66" s="44">
        <f t="shared" si="16"/>
        <v>50</v>
      </c>
      <c r="M66" s="44">
        <f t="shared" si="16"/>
        <v>50</v>
      </c>
      <c r="N66" s="44">
        <f t="shared" si="16"/>
        <v>50</v>
      </c>
      <c r="O66" s="21"/>
      <c r="P66" s="44">
        <f t="shared" ref="P66:U66" si="17">SUM(P28,P65)</f>
        <v>50</v>
      </c>
      <c r="Q66" s="44">
        <f t="shared" si="17"/>
        <v>50</v>
      </c>
      <c r="R66" s="44">
        <f t="shared" si="17"/>
        <v>50</v>
      </c>
      <c r="S66" s="44">
        <f t="shared" si="17"/>
        <v>50</v>
      </c>
      <c r="T66" s="44">
        <f t="shared" si="17"/>
        <v>50</v>
      </c>
      <c r="U66" s="44">
        <f t="shared" si="17"/>
        <v>50</v>
      </c>
      <c r="V66" s="21"/>
      <c r="W66" s="44">
        <f t="shared" ref="W66:AB66" si="18">SUM(W28,W65)</f>
        <v>50</v>
      </c>
      <c r="X66" s="44">
        <f t="shared" si="18"/>
        <v>50</v>
      </c>
      <c r="Y66" s="44">
        <f t="shared" si="18"/>
        <v>50</v>
      </c>
      <c r="Z66" s="44">
        <f t="shared" si="18"/>
        <v>50</v>
      </c>
      <c r="AA66" s="44">
        <f t="shared" si="18"/>
        <v>50</v>
      </c>
      <c r="AB66" s="44">
        <f t="shared" si="18"/>
        <v>50</v>
      </c>
      <c r="AC66" s="21"/>
      <c r="AD66" s="44">
        <f t="shared" ref="AD66:AK66" si="19">SUM(AD28,AD65)</f>
        <v>50</v>
      </c>
      <c r="AE66" s="44">
        <f t="shared" si="19"/>
        <v>50</v>
      </c>
      <c r="AF66" s="44">
        <f t="shared" si="19"/>
        <v>50</v>
      </c>
      <c r="AG66" s="44">
        <f t="shared" ref="AG66:AI66" si="20">SUM(AG28,AG65)</f>
        <v>50</v>
      </c>
      <c r="AH66" s="44">
        <f t="shared" si="20"/>
        <v>50</v>
      </c>
      <c r="AI66" s="44">
        <f t="shared" si="20"/>
        <v>50</v>
      </c>
      <c r="AJ66" s="47">
        <f t="shared" si="19"/>
        <v>1</v>
      </c>
      <c r="AK66" s="47">
        <f t="shared" si="19"/>
        <v>1</v>
      </c>
      <c r="AL66" s="141">
        <f>SUM(C66:AI66)</f>
        <v>1349</v>
      </c>
      <c r="AM66" s="141"/>
      <c r="AN66" s="141"/>
      <c r="AO66" s="142"/>
    </row>
    <row r="67" spans="1:41" ht="15.75" thickBot="1"/>
    <row r="68" spans="1:41" ht="38.25" customHeight="1">
      <c r="A68" s="143" t="s">
        <v>52</v>
      </c>
      <c r="B68" s="143"/>
      <c r="S68" s="144" t="s">
        <v>54</v>
      </c>
      <c r="T68" s="145"/>
      <c r="U68" s="145"/>
      <c r="V68" s="145"/>
      <c r="W68" s="145"/>
      <c r="X68" s="145"/>
      <c r="Y68" s="145"/>
      <c r="Z68" s="145"/>
      <c r="AA68" s="145"/>
      <c r="AB68" s="145"/>
      <c r="AC68" s="145"/>
      <c r="AD68" s="145"/>
      <c r="AE68" s="145"/>
      <c r="AF68" s="146"/>
      <c r="AG68" s="37"/>
      <c r="AH68" s="37"/>
      <c r="AI68" s="37"/>
      <c r="AJ68" s="84" t="s">
        <v>12</v>
      </c>
      <c r="AK68" s="147" t="s">
        <v>13</v>
      </c>
      <c r="AL68" s="147"/>
      <c r="AM68" s="148" t="s">
        <v>15</v>
      </c>
      <c r="AN68" s="148"/>
      <c r="AO68" s="149"/>
    </row>
    <row r="69" spans="1:41" ht="22.5" customHeight="1">
      <c r="A69" s="117" t="s">
        <v>53</v>
      </c>
      <c r="B69" s="117"/>
      <c r="C69" s="117"/>
      <c r="D69" s="117"/>
      <c r="E69" s="117"/>
      <c r="F69" s="117"/>
      <c r="G69" s="117"/>
      <c r="H69" s="117"/>
      <c r="I69" s="117"/>
      <c r="J69" s="117"/>
      <c r="K69" s="117"/>
      <c r="L69" s="117"/>
      <c r="M69" s="117"/>
      <c r="N69" s="117"/>
      <c r="O69" s="117"/>
      <c r="P69" s="117"/>
      <c r="Q69" s="117"/>
      <c r="R69" s="9"/>
      <c r="S69" s="100" t="s">
        <v>55</v>
      </c>
      <c r="T69" s="101"/>
      <c r="U69" s="101"/>
      <c r="V69" s="101"/>
      <c r="W69" s="101"/>
      <c r="X69" s="101"/>
      <c r="Y69" s="101"/>
      <c r="Z69" s="101"/>
      <c r="AA69" s="101"/>
      <c r="AB69" s="101"/>
      <c r="AC69" s="101"/>
      <c r="AD69" s="101"/>
      <c r="AE69" s="101"/>
      <c r="AF69" s="102"/>
      <c r="AG69" s="36"/>
      <c r="AH69" s="36"/>
      <c r="AI69" s="36"/>
      <c r="AJ69" s="70" t="s">
        <v>91</v>
      </c>
      <c r="AK69" s="134">
        <v>27</v>
      </c>
      <c r="AL69" s="134"/>
      <c r="AM69" s="83" t="s">
        <v>16</v>
      </c>
      <c r="AN69" s="83" t="s">
        <v>17</v>
      </c>
      <c r="AO69" s="71" t="s">
        <v>18</v>
      </c>
    </row>
    <row r="70" spans="1:41" ht="29.1" customHeight="1">
      <c r="A70" s="135" t="s">
        <v>74</v>
      </c>
      <c r="B70" s="135"/>
      <c r="C70" s="135"/>
      <c r="D70" s="135"/>
      <c r="E70" s="135"/>
      <c r="F70" s="135"/>
      <c r="G70" s="135"/>
      <c r="H70" s="135"/>
      <c r="I70" s="135"/>
      <c r="J70" s="135"/>
      <c r="K70" s="135"/>
      <c r="L70" s="135"/>
      <c r="M70" s="135"/>
      <c r="N70" s="135"/>
      <c r="O70" s="135"/>
      <c r="P70" s="135"/>
      <c r="Q70" s="135"/>
      <c r="R70" s="9"/>
      <c r="S70" s="100"/>
      <c r="T70" s="101"/>
      <c r="U70" s="101"/>
      <c r="V70" s="101"/>
      <c r="W70" s="101"/>
      <c r="X70" s="101"/>
      <c r="Y70" s="101"/>
      <c r="Z70" s="101"/>
      <c r="AA70" s="101"/>
      <c r="AB70" s="101"/>
      <c r="AC70" s="101"/>
      <c r="AD70" s="101"/>
      <c r="AE70" s="101"/>
      <c r="AF70" s="102"/>
      <c r="AG70" s="36"/>
      <c r="AH70" s="36"/>
      <c r="AI70" s="36"/>
      <c r="AJ70" s="126" t="s">
        <v>19</v>
      </c>
      <c r="AK70" s="127"/>
      <c r="AL70" s="127"/>
      <c r="AM70" s="79">
        <v>14</v>
      </c>
      <c r="AN70" s="79">
        <v>36</v>
      </c>
      <c r="AO70" s="80">
        <f>AM70+AN70</f>
        <v>50</v>
      </c>
    </row>
    <row r="71" spans="1:41" ht="29.1" customHeight="1" thickBot="1">
      <c r="B71" s="133" t="s">
        <v>77</v>
      </c>
      <c r="C71" s="124"/>
      <c r="D71" s="124"/>
      <c r="E71" s="124"/>
      <c r="F71" s="124"/>
      <c r="G71" s="124"/>
      <c r="H71" s="124"/>
      <c r="I71" s="124"/>
      <c r="J71" s="124"/>
      <c r="K71" s="124"/>
      <c r="L71" s="125" t="s">
        <v>76</v>
      </c>
      <c r="M71" s="125"/>
      <c r="S71" s="136" t="s">
        <v>56</v>
      </c>
      <c r="T71" s="137"/>
      <c r="U71" s="137"/>
      <c r="V71" s="137"/>
      <c r="W71" s="137"/>
      <c r="X71" s="137"/>
      <c r="Y71" s="137"/>
      <c r="Z71" s="137"/>
      <c r="AA71" s="137"/>
      <c r="AB71" s="137"/>
      <c r="AC71" s="137"/>
      <c r="AD71" s="137"/>
      <c r="AE71" s="137"/>
      <c r="AF71" s="138"/>
      <c r="AG71" s="37"/>
      <c r="AH71" s="37"/>
      <c r="AI71" s="37"/>
      <c r="AJ71" s="126" t="s">
        <v>20</v>
      </c>
      <c r="AK71" s="127"/>
      <c r="AL71" s="127"/>
      <c r="AM71" s="79">
        <v>0</v>
      </c>
      <c r="AN71" s="79">
        <v>0</v>
      </c>
      <c r="AO71" s="80">
        <v>0</v>
      </c>
    </row>
    <row r="72" spans="1:41" ht="29.1" customHeight="1">
      <c r="B72" s="133"/>
      <c r="C72" s="132"/>
      <c r="D72" s="132"/>
      <c r="E72" s="132"/>
      <c r="F72" s="132"/>
      <c r="G72" s="132"/>
      <c r="H72" s="132"/>
      <c r="I72" s="132"/>
      <c r="J72" s="132"/>
      <c r="K72" s="132"/>
      <c r="L72" s="125"/>
      <c r="M72" s="125"/>
      <c r="S72" s="136"/>
      <c r="T72" s="137"/>
      <c r="U72" s="137"/>
      <c r="V72" s="137"/>
      <c r="W72" s="137"/>
      <c r="X72" s="137"/>
      <c r="Y72" s="137"/>
      <c r="Z72" s="137"/>
      <c r="AA72" s="137"/>
      <c r="AB72" s="137"/>
      <c r="AC72" s="137"/>
      <c r="AD72" s="137"/>
      <c r="AE72" s="137"/>
      <c r="AF72" s="138"/>
      <c r="AG72" s="37"/>
      <c r="AH72" s="37"/>
      <c r="AI72" s="37"/>
      <c r="AJ72" s="126" t="s">
        <v>21</v>
      </c>
      <c r="AK72" s="127"/>
      <c r="AL72" s="127"/>
      <c r="AM72" s="79">
        <v>14</v>
      </c>
      <c r="AN72" s="79">
        <v>36</v>
      </c>
      <c r="AO72" s="80">
        <f>AM72+AN72</f>
        <v>50</v>
      </c>
    </row>
    <row r="73" spans="1:41" ht="29.1" customHeight="1" thickBot="1">
      <c r="B73" s="133" t="s">
        <v>80</v>
      </c>
      <c r="C73" s="124"/>
      <c r="D73" s="124"/>
      <c r="E73" s="124"/>
      <c r="F73" s="124"/>
      <c r="G73" s="124"/>
      <c r="H73" s="124"/>
      <c r="I73" s="124"/>
      <c r="J73" s="124"/>
      <c r="K73" s="124"/>
      <c r="L73" s="125"/>
      <c r="M73" s="125"/>
      <c r="S73" s="103" t="s">
        <v>57</v>
      </c>
      <c r="T73" s="104"/>
      <c r="U73" s="104"/>
      <c r="V73" s="104"/>
      <c r="W73" s="104"/>
      <c r="X73" s="104"/>
      <c r="Y73" s="104"/>
      <c r="Z73" s="104"/>
      <c r="AA73" s="104"/>
      <c r="AB73" s="104"/>
      <c r="AC73" s="104"/>
      <c r="AD73" s="104"/>
      <c r="AE73" s="104"/>
      <c r="AF73" s="105"/>
      <c r="AG73" s="38"/>
      <c r="AH73" s="38"/>
      <c r="AI73" s="38"/>
      <c r="AJ73" s="126" t="s">
        <v>22</v>
      </c>
      <c r="AK73" s="127"/>
      <c r="AL73" s="127"/>
      <c r="AM73" s="81">
        <v>1</v>
      </c>
      <c r="AN73" s="81">
        <v>1</v>
      </c>
      <c r="AO73" s="82">
        <v>1</v>
      </c>
    </row>
    <row r="74" spans="1:41" ht="29.1" customHeight="1">
      <c r="B74" s="133"/>
      <c r="C74" s="132"/>
      <c r="D74" s="132"/>
      <c r="E74" s="132"/>
      <c r="F74" s="132"/>
      <c r="G74" s="132"/>
      <c r="H74" s="132"/>
      <c r="I74" s="132"/>
      <c r="J74" s="132"/>
      <c r="K74" s="132"/>
      <c r="L74" s="125"/>
      <c r="M74" s="125"/>
      <c r="S74" s="100" t="s">
        <v>58</v>
      </c>
      <c r="T74" s="101"/>
      <c r="U74" s="101"/>
      <c r="V74" s="101"/>
      <c r="W74" s="101"/>
      <c r="X74" s="101"/>
      <c r="Y74" s="101"/>
      <c r="Z74" s="101"/>
      <c r="AA74" s="101"/>
      <c r="AB74" s="101"/>
      <c r="AC74" s="101"/>
      <c r="AD74" s="101"/>
      <c r="AE74" s="101"/>
      <c r="AF74" s="102"/>
      <c r="AG74" s="36"/>
      <c r="AH74" s="36"/>
      <c r="AI74" s="36"/>
      <c r="AJ74" s="121" t="s">
        <v>99</v>
      </c>
      <c r="AK74" s="122"/>
      <c r="AL74" s="122"/>
      <c r="AM74" s="79">
        <v>14</v>
      </c>
      <c r="AN74" s="79">
        <v>36</v>
      </c>
      <c r="AO74" s="80">
        <f>AM74+AN74</f>
        <v>50</v>
      </c>
    </row>
    <row r="75" spans="1:41" ht="29.1" customHeight="1">
      <c r="S75" s="100"/>
      <c r="T75" s="101"/>
      <c r="U75" s="101"/>
      <c r="V75" s="101"/>
      <c r="W75" s="101"/>
      <c r="X75" s="101"/>
      <c r="Y75" s="101"/>
      <c r="Z75" s="101"/>
      <c r="AA75" s="101"/>
      <c r="AB75" s="101"/>
      <c r="AC75" s="101"/>
      <c r="AD75" s="101"/>
      <c r="AE75" s="101"/>
      <c r="AF75" s="102"/>
      <c r="AG75" s="36"/>
      <c r="AH75" s="36"/>
      <c r="AI75" s="36"/>
      <c r="AJ75" s="121" t="s">
        <v>98</v>
      </c>
      <c r="AK75" s="122"/>
      <c r="AL75" s="122"/>
      <c r="AM75" s="81">
        <v>1</v>
      </c>
      <c r="AN75" s="81">
        <v>1</v>
      </c>
      <c r="AO75" s="82">
        <v>1</v>
      </c>
    </row>
    <row r="76" spans="1:41" s="2" customFormat="1" ht="29.1" customHeight="1" thickBot="1">
      <c r="B76" s="123" t="s">
        <v>82</v>
      </c>
      <c r="C76" s="124"/>
      <c r="D76" s="124"/>
      <c r="E76" s="124"/>
      <c r="F76" s="124"/>
      <c r="G76" s="124"/>
      <c r="H76" s="124"/>
      <c r="I76" s="124"/>
      <c r="J76" s="124"/>
      <c r="K76" s="124"/>
      <c r="L76" s="125" t="s">
        <v>76</v>
      </c>
      <c r="M76" s="125"/>
      <c r="P76" s="3"/>
      <c r="Q76" s="3"/>
      <c r="R76" s="3"/>
      <c r="S76" s="100"/>
      <c r="T76" s="101"/>
      <c r="U76" s="101"/>
      <c r="V76" s="101"/>
      <c r="W76" s="101"/>
      <c r="X76" s="101"/>
      <c r="Y76" s="101"/>
      <c r="Z76" s="101"/>
      <c r="AA76" s="101"/>
      <c r="AB76" s="101"/>
      <c r="AC76" s="101"/>
      <c r="AD76" s="101"/>
      <c r="AE76" s="101"/>
      <c r="AF76" s="102"/>
      <c r="AG76" s="36"/>
      <c r="AH76" s="36"/>
      <c r="AI76" s="36"/>
      <c r="AJ76" s="126" t="s">
        <v>23</v>
      </c>
      <c r="AK76" s="127"/>
      <c r="AL76" s="127"/>
      <c r="AM76" s="79">
        <v>0</v>
      </c>
      <c r="AN76" s="79">
        <v>0</v>
      </c>
      <c r="AO76" s="80">
        <v>0</v>
      </c>
    </row>
    <row r="77" spans="1:41" s="2" customFormat="1" ht="23.25" customHeight="1">
      <c r="B77" s="123"/>
      <c r="C77" s="128"/>
      <c r="D77" s="128"/>
      <c r="E77" s="128"/>
      <c r="F77" s="128"/>
      <c r="G77" s="128"/>
      <c r="H77" s="128"/>
      <c r="I77" s="128"/>
      <c r="J77" s="128"/>
      <c r="K77" s="128"/>
      <c r="L77" s="125"/>
      <c r="M77" s="125"/>
      <c r="P77" s="3"/>
      <c r="Q77" s="3"/>
      <c r="R77" s="3"/>
      <c r="S77" s="103" t="s">
        <v>59</v>
      </c>
      <c r="T77" s="104"/>
      <c r="U77" s="104"/>
      <c r="V77" s="104"/>
      <c r="W77" s="104"/>
      <c r="X77" s="104"/>
      <c r="Y77" s="104"/>
      <c r="Z77" s="104"/>
      <c r="AA77" s="104"/>
      <c r="AB77" s="104"/>
      <c r="AC77" s="104"/>
      <c r="AD77" s="104"/>
      <c r="AE77" s="104"/>
      <c r="AF77" s="105"/>
      <c r="AG77" s="38"/>
      <c r="AH77" s="38"/>
      <c r="AI77" s="38"/>
      <c r="AJ77" s="129"/>
      <c r="AK77" s="130"/>
      <c r="AL77" s="130"/>
      <c r="AM77" s="130"/>
      <c r="AN77" s="130"/>
      <c r="AO77" s="131"/>
    </row>
    <row r="78" spans="1:41" s="2" customFormat="1" ht="23.25" customHeight="1">
      <c r="P78" s="3"/>
      <c r="Q78" s="3"/>
      <c r="R78" s="3"/>
      <c r="S78" s="100" t="s">
        <v>60</v>
      </c>
      <c r="T78" s="101"/>
      <c r="U78" s="101"/>
      <c r="V78" s="101"/>
      <c r="W78" s="101"/>
      <c r="X78" s="101"/>
      <c r="Y78" s="101"/>
      <c r="Z78" s="101"/>
      <c r="AA78" s="101"/>
      <c r="AB78" s="101"/>
      <c r="AC78" s="101"/>
      <c r="AD78" s="101"/>
      <c r="AE78" s="101"/>
      <c r="AF78" s="102"/>
      <c r="AG78" s="36"/>
      <c r="AH78" s="36"/>
      <c r="AI78" s="36"/>
      <c r="AJ78" s="115" t="s">
        <v>24</v>
      </c>
      <c r="AK78" s="116"/>
      <c r="AL78" s="116"/>
      <c r="AM78" s="74">
        <v>0</v>
      </c>
      <c r="AN78" s="74">
        <v>0</v>
      </c>
      <c r="AO78" s="75">
        <v>0</v>
      </c>
    </row>
    <row r="79" spans="1:41" s="2" customFormat="1" ht="25.5" customHeight="1">
      <c r="A79" s="117" t="s">
        <v>83</v>
      </c>
      <c r="B79" s="117"/>
      <c r="C79" s="117"/>
      <c r="D79" s="117"/>
      <c r="E79" s="117"/>
      <c r="F79" s="117"/>
      <c r="G79" s="117"/>
      <c r="H79" s="117"/>
      <c r="I79" s="117"/>
      <c r="J79" s="117"/>
      <c r="K79" s="117"/>
      <c r="L79" s="117"/>
      <c r="M79" s="117"/>
      <c r="N79" s="117"/>
      <c r="O79" s="117"/>
      <c r="P79" s="117"/>
      <c r="Q79" s="117"/>
      <c r="R79" s="3"/>
      <c r="S79" s="100"/>
      <c r="T79" s="101"/>
      <c r="U79" s="101"/>
      <c r="V79" s="101"/>
      <c r="W79" s="101"/>
      <c r="X79" s="101"/>
      <c r="Y79" s="101"/>
      <c r="Z79" s="101"/>
      <c r="AA79" s="101"/>
      <c r="AB79" s="101"/>
      <c r="AC79" s="101"/>
      <c r="AD79" s="101"/>
      <c r="AE79" s="101"/>
      <c r="AF79" s="102"/>
      <c r="AG79" s="36"/>
      <c r="AH79" s="36"/>
      <c r="AI79" s="36"/>
      <c r="AJ79" s="118" t="s">
        <v>25</v>
      </c>
      <c r="AK79" s="119"/>
      <c r="AL79" s="119"/>
      <c r="AM79" s="76">
        <v>0</v>
      </c>
      <c r="AN79" s="76">
        <v>0</v>
      </c>
      <c r="AO79" s="75">
        <v>0</v>
      </c>
    </row>
    <row r="80" spans="1:41" s="2" customFormat="1" ht="26.25" customHeight="1">
      <c r="A80" s="120" t="s">
        <v>84</v>
      </c>
      <c r="B80" s="120"/>
      <c r="C80" s="120"/>
      <c r="D80" s="120"/>
      <c r="E80" s="120"/>
      <c r="F80" s="120"/>
      <c r="G80" s="120"/>
      <c r="H80" s="120"/>
      <c r="I80" s="120"/>
      <c r="J80" s="120"/>
      <c r="K80" s="120"/>
      <c r="L80" s="120"/>
      <c r="M80" s="120"/>
      <c r="N80" s="120"/>
      <c r="O80" s="120"/>
      <c r="P80" s="120"/>
      <c r="Q80" s="120"/>
      <c r="R80" s="3"/>
      <c r="S80" s="100"/>
      <c r="T80" s="101"/>
      <c r="U80" s="101"/>
      <c r="V80" s="101"/>
      <c r="W80" s="101"/>
      <c r="X80" s="101"/>
      <c r="Y80" s="101"/>
      <c r="Z80" s="101"/>
      <c r="AA80" s="101"/>
      <c r="AB80" s="101"/>
      <c r="AC80" s="101"/>
      <c r="AD80" s="101"/>
      <c r="AE80" s="101"/>
      <c r="AF80" s="102"/>
      <c r="AG80" s="36"/>
      <c r="AH80" s="36"/>
      <c r="AI80" s="36"/>
      <c r="AJ80" s="118" t="s">
        <v>26</v>
      </c>
      <c r="AK80" s="119"/>
      <c r="AL80" s="119"/>
      <c r="AM80" s="76">
        <v>0</v>
      </c>
      <c r="AN80" s="76">
        <v>0</v>
      </c>
      <c r="AO80" s="75">
        <v>0</v>
      </c>
    </row>
    <row r="81" spans="1:43" ht="25.5" customHeight="1">
      <c r="A81" s="34" t="s">
        <v>85</v>
      </c>
      <c r="S81" s="100"/>
      <c r="T81" s="101"/>
      <c r="U81" s="101"/>
      <c r="V81" s="101"/>
      <c r="W81" s="101"/>
      <c r="X81" s="101"/>
      <c r="Y81" s="101"/>
      <c r="Z81" s="101"/>
      <c r="AA81" s="101"/>
      <c r="AB81" s="101"/>
      <c r="AC81" s="101"/>
      <c r="AD81" s="101"/>
      <c r="AE81" s="101"/>
      <c r="AF81" s="102"/>
      <c r="AG81" s="36"/>
      <c r="AH81" s="36"/>
      <c r="AI81" s="36"/>
      <c r="AJ81" s="118" t="s">
        <v>27</v>
      </c>
      <c r="AK81" s="119"/>
      <c r="AL81" s="119"/>
      <c r="AM81" s="76">
        <v>0</v>
      </c>
      <c r="AN81" s="76">
        <v>0</v>
      </c>
      <c r="AO81" s="75">
        <v>0</v>
      </c>
    </row>
    <row r="82" spans="1:43" ht="25.5" customHeight="1" thickBot="1">
      <c r="S82" s="103" t="s">
        <v>61</v>
      </c>
      <c r="T82" s="104"/>
      <c r="U82" s="104"/>
      <c r="V82" s="104"/>
      <c r="W82" s="104"/>
      <c r="X82" s="104"/>
      <c r="Y82" s="104"/>
      <c r="Z82" s="104"/>
      <c r="AA82" s="104"/>
      <c r="AB82" s="104"/>
      <c r="AC82" s="104"/>
      <c r="AD82" s="104"/>
      <c r="AE82" s="104"/>
      <c r="AF82" s="105"/>
      <c r="AG82" s="38"/>
      <c r="AH82" s="38"/>
      <c r="AI82" s="38"/>
      <c r="AJ82" s="111" t="s">
        <v>28</v>
      </c>
      <c r="AK82" s="112"/>
      <c r="AL82" s="112"/>
      <c r="AM82" s="77">
        <v>0</v>
      </c>
      <c r="AN82" s="77">
        <v>0</v>
      </c>
      <c r="AO82" s="78">
        <v>0</v>
      </c>
      <c r="AP82" s="13"/>
      <c r="AQ82" s="13"/>
    </row>
    <row r="83" spans="1:43" ht="15" customHeight="1">
      <c r="S83" s="100" t="s">
        <v>62</v>
      </c>
      <c r="T83" s="101"/>
      <c r="U83" s="101"/>
      <c r="V83" s="101"/>
      <c r="W83" s="101"/>
      <c r="X83" s="101"/>
      <c r="Y83" s="101"/>
      <c r="Z83" s="101"/>
      <c r="AA83" s="101"/>
      <c r="AB83" s="101"/>
      <c r="AC83" s="101"/>
      <c r="AD83" s="101"/>
      <c r="AE83" s="101"/>
      <c r="AF83" s="102"/>
      <c r="AG83" s="36"/>
      <c r="AH83" s="36"/>
      <c r="AI83" s="36"/>
      <c r="AJ83" s="10"/>
      <c r="AK83" s="10"/>
      <c r="AL83" s="10"/>
      <c r="AM83" s="10"/>
      <c r="AN83" s="10"/>
      <c r="AO83" s="10"/>
      <c r="AP83" s="10"/>
      <c r="AQ83" s="10"/>
    </row>
    <row r="84" spans="1:43">
      <c r="S84" s="100"/>
      <c r="T84" s="101"/>
      <c r="U84" s="101"/>
      <c r="V84" s="101"/>
      <c r="W84" s="101"/>
      <c r="X84" s="101"/>
      <c r="Y84" s="101"/>
      <c r="Z84" s="101"/>
      <c r="AA84" s="101"/>
      <c r="AB84" s="101"/>
      <c r="AC84" s="101"/>
      <c r="AD84" s="101"/>
      <c r="AE84" s="101"/>
      <c r="AF84" s="102"/>
      <c r="AG84" s="36"/>
      <c r="AH84" s="36"/>
      <c r="AI84" s="36"/>
      <c r="AP84" s="14"/>
      <c r="AQ84" s="14"/>
    </row>
    <row r="85" spans="1:43" ht="15.75" thickBot="1">
      <c r="S85" s="100"/>
      <c r="T85" s="101"/>
      <c r="U85" s="101"/>
      <c r="V85" s="101"/>
      <c r="W85" s="101"/>
      <c r="X85" s="101"/>
      <c r="Y85" s="101"/>
      <c r="Z85" s="101"/>
      <c r="AA85" s="101"/>
      <c r="AB85" s="101"/>
      <c r="AC85" s="101"/>
      <c r="AD85" s="101"/>
      <c r="AE85" s="101"/>
      <c r="AF85" s="102"/>
      <c r="AG85" s="36"/>
      <c r="AH85" s="36"/>
      <c r="AI85" s="36"/>
      <c r="AJ85" s="113" t="s">
        <v>108</v>
      </c>
      <c r="AK85" s="113"/>
      <c r="AL85" s="113"/>
      <c r="AM85" s="113"/>
      <c r="AN85" s="113"/>
      <c r="AO85" s="113"/>
      <c r="AP85" s="15"/>
      <c r="AQ85" s="15"/>
    </row>
    <row r="86" spans="1:43" ht="15" customHeight="1">
      <c r="S86" s="103" t="s">
        <v>63</v>
      </c>
      <c r="T86" s="104"/>
      <c r="U86" s="104"/>
      <c r="V86" s="104"/>
      <c r="W86" s="104"/>
      <c r="X86" s="104"/>
      <c r="Y86" s="104"/>
      <c r="Z86" s="104"/>
      <c r="AA86" s="104"/>
      <c r="AB86" s="104"/>
      <c r="AC86" s="104"/>
      <c r="AD86" s="104"/>
      <c r="AE86" s="104"/>
      <c r="AF86" s="105"/>
      <c r="AG86" s="38"/>
      <c r="AH86" s="38"/>
      <c r="AI86" s="38"/>
      <c r="AJ86" s="114" t="s">
        <v>72</v>
      </c>
      <c r="AK86" s="114"/>
      <c r="AL86" s="114"/>
      <c r="AM86" s="114"/>
      <c r="AN86" s="114"/>
      <c r="AO86" s="114"/>
    </row>
    <row r="87" spans="1:43" ht="15" customHeight="1">
      <c r="S87" s="100" t="s">
        <v>64</v>
      </c>
      <c r="T87" s="101"/>
      <c r="U87" s="101"/>
      <c r="V87" s="101"/>
      <c r="W87" s="101"/>
      <c r="X87" s="101"/>
      <c r="Y87" s="101"/>
      <c r="Z87" s="101"/>
      <c r="AA87" s="101"/>
      <c r="AB87" s="101"/>
      <c r="AC87" s="101"/>
      <c r="AD87" s="101"/>
      <c r="AE87" s="101"/>
      <c r="AF87" s="102"/>
      <c r="AG87" s="36"/>
      <c r="AH87" s="36"/>
      <c r="AI87" s="36"/>
    </row>
    <row r="88" spans="1:43">
      <c r="S88" s="100"/>
      <c r="T88" s="101"/>
      <c r="U88" s="101"/>
      <c r="V88" s="101"/>
      <c r="W88" s="101"/>
      <c r="X88" s="101"/>
      <c r="Y88" s="101"/>
      <c r="Z88" s="101"/>
      <c r="AA88" s="101"/>
      <c r="AB88" s="101"/>
      <c r="AC88" s="101"/>
      <c r="AD88" s="101"/>
      <c r="AE88" s="101"/>
      <c r="AF88" s="102"/>
      <c r="AG88" s="36"/>
      <c r="AH88" s="36"/>
      <c r="AI88" s="36"/>
      <c r="AJ88" s="12" t="s">
        <v>73</v>
      </c>
    </row>
    <row r="89" spans="1:43">
      <c r="S89" s="100"/>
      <c r="T89" s="101"/>
      <c r="U89" s="101"/>
      <c r="V89" s="101"/>
      <c r="W89" s="101"/>
      <c r="X89" s="101"/>
      <c r="Y89" s="101"/>
      <c r="Z89" s="101"/>
      <c r="AA89" s="101"/>
      <c r="AB89" s="101"/>
      <c r="AC89" s="101"/>
      <c r="AD89" s="101"/>
      <c r="AE89" s="101"/>
      <c r="AF89" s="102"/>
      <c r="AG89" s="36"/>
      <c r="AH89" s="36"/>
      <c r="AI89" s="36"/>
    </row>
    <row r="90" spans="1:43" ht="15" customHeight="1">
      <c r="S90" s="103" t="s">
        <v>65</v>
      </c>
      <c r="T90" s="104"/>
      <c r="U90" s="104"/>
      <c r="V90" s="104"/>
      <c r="W90" s="104"/>
      <c r="X90" s="104"/>
      <c r="Y90" s="104"/>
      <c r="Z90" s="104"/>
      <c r="AA90" s="104"/>
      <c r="AB90" s="104"/>
      <c r="AC90" s="104"/>
      <c r="AD90" s="104"/>
      <c r="AE90" s="104"/>
      <c r="AF90" s="105"/>
      <c r="AG90" s="38"/>
      <c r="AH90" s="38"/>
      <c r="AI90" s="38"/>
    </row>
    <row r="91" spans="1:43" ht="15.75" customHeight="1" thickBot="1">
      <c r="S91" s="100" t="s">
        <v>66</v>
      </c>
      <c r="T91" s="101"/>
      <c r="U91" s="101"/>
      <c r="V91" s="101"/>
      <c r="W91" s="101"/>
      <c r="X91" s="101"/>
      <c r="Y91" s="101"/>
      <c r="Z91" s="101"/>
      <c r="AA91" s="101"/>
      <c r="AB91" s="101"/>
      <c r="AC91" s="101"/>
      <c r="AD91" s="101"/>
      <c r="AE91" s="101"/>
      <c r="AF91" s="102"/>
      <c r="AG91" s="36"/>
      <c r="AH91" s="36"/>
      <c r="AI91" s="36"/>
      <c r="AJ91" s="106" t="s">
        <v>105</v>
      </c>
      <c r="AK91" s="106"/>
      <c r="AL91" s="106"/>
      <c r="AM91" s="106"/>
      <c r="AN91" s="106"/>
      <c r="AO91" s="106"/>
      <c r="AP91" s="16"/>
    </row>
    <row r="92" spans="1:43">
      <c r="S92" s="32"/>
      <c r="T92" s="13"/>
      <c r="U92" s="13"/>
      <c r="V92" s="13"/>
      <c r="W92" s="13"/>
      <c r="X92" s="13"/>
      <c r="Y92" s="13"/>
      <c r="Z92" s="13"/>
      <c r="AA92" s="13"/>
      <c r="AB92" s="13"/>
      <c r="AC92" s="13"/>
      <c r="AD92" s="13"/>
      <c r="AE92" s="13"/>
      <c r="AF92" s="33"/>
      <c r="AG92" s="13"/>
      <c r="AH92" s="13"/>
      <c r="AI92" s="13"/>
      <c r="AJ92" s="107" t="s">
        <v>101</v>
      </c>
      <c r="AK92" s="107"/>
      <c r="AL92" s="107"/>
      <c r="AM92" s="107"/>
      <c r="AN92" s="107"/>
      <c r="AO92" s="107"/>
    </row>
    <row r="93" spans="1:43" ht="14.25" customHeight="1">
      <c r="S93" s="108" t="s">
        <v>67</v>
      </c>
      <c r="T93" s="109"/>
      <c r="U93" s="109"/>
      <c r="V93" s="109"/>
      <c r="W93" s="109"/>
      <c r="X93" s="109"/>
      <c r="Y93" s="109"/>
      <c r="Z93" s="109"/>
      <c r="AA93" s="109"/>
      <c r="AB93" s="109"/>
      <c r="AC93" s="109"/>
      <c r="AD93" s="109"/>
      <c r="AE93" s="109"/>
      <c r="AF93" s="110"/>
      <c r="AG93" s="35"/>
      <c r="AH93" s="35"/>
      <c r="AI93" s="35"/>
    </row>
    <row r="94" spans="1:43" ht="11.25" customHeight="1">
      <c r="S94" s="91" t="s">
        <v>68</v>
      </c>
      <c r="T94" s="92"/>
      <c r="U94" s="92"/>
      <c r="V94" s="92"/>
      <c r="W94" s="92"/>
      <c r="X94" s="92"/>
      <c r="Y94" s="92"/>
      <c r="Z94" s="92"/>
      <c r="AA94" s="92"/>
      <c r="AB94" s="92"/>
      <c r="AC94" s="92"/>
      <c r="AD94" s="92"/>
      <c r="AE94" s="92"/>
      <c r="AF94" s="93"/>
      <c r="AG94" s="11"/>
      <c r="AH94" s="11"/>
      <c r="AI94" s="11"/>
    </row>
    <row r="95" spans="1:43" ht="10.5" customHeight="1">
      <c r="S95" s="91" t="s">
        <v>69</v>
      </c>
      <c r="T95" s="92"/>
      <c r="U95" s="92"/>
      <c r="V95" s="92"/>
      <c r="W95" s="92"/>
      <c r="X95" s="92"/>
      <c r="Y95" s="92"/>
      <c r="Z95" s="92"/>
      <c r="AA95" s="92"/>
      <c r="AB95" s="92"/>
      <c r="AC95" s="92"/>
      <c r="AD95" s="92"/>
      <c r="AE95" s="92"/>
      <c r="AF95" s="93"/>
      <c r="AG95" s="11"/>
      <c r="AH95" s="11"/>
      <c r="AI95" s="11"/>
    </row>
    <row r="96" spans="1:43" ht="12" customHeight="1">
      <c r="S96" s="91" t="s">
        <v>70</v>
      </c>
      <c r="T96" s="92"/>
      <c r="U96" s="92"/>
      <c r="V96" s="92"/>
      <c r="W96" s="92"/>
      <c r="X96" s="92"/>
      <c r="Y96" s="92"/>
      <c r="Z96" s="92"/>
      <c r="AA96" s="92"/>
      <c r="AB96" s="92"/>
      <c r="AC96" s="92"/>
      <c r="AD96" s="92"/>
      <c r="AE96" s="92"/>
      <c r="AF96" s="93"/>
      <c r="AG96" s="11"/>
      <c r="AH96" s="11"/>
      <c r="AI96" s="11"/>
    </row>
    <row r="97" spans="19:35" ht="12" customHeight="1" thickBot="1">
      <c r="S97" s="94" t="s">
        <v>71</v>
      </c>
      <c r="T97" s="95"/>
      <c r="U97" s="95"/>
      <c r="V97" s="95"/>
      <c r="W97" s="95"/>
      <c r="X97" s="95"/>
      <c r="Y97" s="95"/>
      <c r="Z97" s="95"/>
      <c r="AA97" s="95"/>
      <c r="AB97" s="95"/>
      <c r="AC97" s="95"/>
      <c r="AD97" s="95"/>
      <c r="AE97" s="95"/>
      <c r="AF97" s="96"/>
      <c r="AG97" s="11"/>
      <c r="AH97" s="11"/>
      <c r="AI97" s="11"/>
    </row>
  </sheetData>
  <mergeCells count="124">
    <mergeCell ref="AL30:AO30"/>
    <mergeCell ref="AJ81:AL81"/>
    <mergeCell ref="AJ82:AL82"/>
    <mergeCell ref="A2:AO2"/>
    <mergeCell ref="M4:Q4"/>
    <mergeCell ref="R4:V4"/>
    <mergeCell ref="Y4:AA4"/>
    <mergeCell ref="AB4:AJ4"/>
    <mergeCell ref="AK4:AL4"/>
    <mergeCell ref="AM4:AO4"/>
    <mergeCell ref="AJ75:AL75"/>
    <mergeCell ref="AJ77:AO77"/>
    <mergeCell ref="A10:A13"/>
    <mergeCell ref="B10:B11"/>
    <mergeCell ref="AJ10:AK12"/>
    <mergeCell ref="AL10:AO10"/>
    <mergeCell ref="AL11:AO11"/>
    <mergeCell ref="B12:B13"/>
    <mergeCell ref="AL12:AO12"/>
    <mergeCell ref="AL13:AO13"/>
    <mergeCell ref="AK6:AO6"/>
    <mergeCell ref="R8:AI8"/>
    <mergeCell ref="A28:B28"/>
    <mergeCell ref="AL28:AO28"/>
    <mergeCell ref="R6:V6"/>
    <mergeCell ref="W6:Z6"/>
    <mergeCell ref="AA6:AD6"/>
    <mergeCell ref="AL20:AO20"/>
    <mergeCell ref="AL21:AO21"/>
    <mergeCell ref="AL22:AO22"/>
    <mergeCell ref="AL23:AO23"/>
    <mergeCell ref="AL24:AO24"/>
    <mergeCell ref="C10:AI11"/>
    <mergeCell ref="M6:Q6"/>
    <mergeCell ref="AL27:AO27"/>
    <mergeCell ref="AL25:AO25"/>
    <mergeCell ref="AL14:AO14"/>
    <mergeCell ref="AL15:AO15"/>
    <mergeCell ref="AL16:AO16"/>
    <mergeCell ref="AL17:AO17"/>
    <mergeCell ref="AL18:AO18"/>
    <mergeCell ref="AL19:AO19"/>
    <mergeCell ref="AK8:AO8"/>
    <mergeCell ref="A66:B66"/>
    <mergeCell ref="AL66:AO66"/>
    <mergeCell ref="A68:B68"/>
    <mergeCell ref="AK68:AL68"/>
    <mergeCell ref="AM68:AO68"/>
    <mergeCell ref="A65:B65"/>
    <mergeCell ref="AL65:AO65"/>
    <mergeCell ref="AL64:AO64"/>
    <mergeCell ref="AL63:AO63"/>
    <mergeCell ref="S68:AF68"/>
    <mergeCell ref="AJ92:AO92"/>
    <mergeCell ref="S90:AF90"/>
    <mergeCell ref="S91:AF91"/>
    <mergeCell ref="S93:AF93"/>
    <mergeCell ref="AJ85:AO85"/>
    <mergeCell ref="AJ86:AO86"/>
    <mergeCell ref="S83:AF85"/>
    <mergeCell ref="S86:AF86"/>
    <mergeCell ref="S87:AF89"/>
    <mergeCell ref="S69:AF70"/>
    <mergeCell ref="AJ91:AO91"/>
    <mergeCell ref="AJ78:AL78"/>
    <mergeCell ref="A79:Q79"/>
    <mergeCell ref="AJ79:AL79"/>
    <mergeCell ref="A80:Q80"/>
    <mergeCell ref="AJ80:AL80"/>
    <mergeCell ref="B76:B77"/>
    <mergeCell ref="L76:M77"/>
    <mergeCell ref="AJ76:AL76"/>
    <mergeCell ref="AJ72:AL72"/>
    <mergeCell ref="B73:B74"/>
    <mergeCell ref="L73:M74"/>
    <mergeCell ref="AJ73:AL73"/>
    <mergeCell ref="AJ74:AL74"/>
    <mergeCell ref="A69:Q69"/>
    <mergeCell ref="AK69:AL69"/>
    <mergeCell ref="A70:Q70"/>
    <mergeCell ref="AJ70:AL70"/>
    <mergeCell ref="B71:B72"/>
    <mergeCell ref="AJ71:AL71"/>
    <mergeCell ref="S94:AF94"/>
    <mergeCell ref="S96:AF96"/>
    <mergeCell ref="S95:AF95"/>
    <mergeCell ref="S97:AF97"/>
    <mergeCell ref="C71:K71"/>
    <mergeCell ref="C72:K72"/>
    <mergeCell ref="C73:K73"/>
    <mergeCell ref="C74:K74"/>
    <mergeCell ref="C76:K76"/>
    <mergeCell ref="C77:K77"/>
    <mergeCell ref="S71:AF72"/>
    <mergeCell ref="S73:AF73"/>
    <mergeCell ref="S74:AF76"/>
    <mergeCell ref="S77:AF77"/>
    <mergeCell ref="S78:AF81"/>
    <mergeCell ref="S82:AF82"/>
    <mergeCell ref="L71:M72"/>
    <mergeCell ref="AL45:AO45"/>
    <mergeCell ref="AL46:AO46"/>
    <mergeCell ref="AL47:AO47"/>
    <mergeCell ref="AL48:AO48"/>
    <mergeCell ref="AL49:AO49"/>
    <mergeCell ref="C4:L4"/>
    <mergeCell ref="C6:L6"/>
    <mergeCell ref="M8:Q8"/>
    <mergeCell ref="C8:L8"/>
    <mergeCell ref="AL36:AO36"/>
    <mergeCell ref="AL37:AO37"/>
    <mergeCell ref="AL38:AO38"/>
    <mergeCell ref="AL39:AO39"/>
    <mergeCell ref="AL40:AO40"/>
    <mergeCell ref="AL41:AO41"/>
    <mergeCell ref="AL42:AO42"/>
    <mergeCell ref="AL43:AO43"/>
    <mergeCell ref="AL44:AO44"/>
    <mergeCell ref="AL31:AO31"/>
    <mergeCell ref="AL32:AO32"/>
    <mergeCell ref="AL33:AO33"/>
    <mergeCell ref="AL34:AO34"/>
    <mergeCell ref="AL35:AO35"/>
    <mergeCell ref="AL29:AO29"/>
  </mergeCells>
  <pageMargins left="0.12" right="0.12" top="0.28000000000000003" bottom="0.12" header="0.3" footer="0.12"/>
  <pageSetup paperSize="9" scale="73" fitToHeight="0"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Y97"/>
  <sheetViews>
    <sheetView zoomScale="85" zoomScaleNormal="85" workbookViewId="0">
      <selection activeCell="AH66" sqref="AH66"/>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92</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c r="D12" s="87">
        <v>1</v>
      </c>
      <c r="E12" s="61">
        <v>2</v>
      </c>
      <c r="F12" s="61">
        <v>3</v>
      </c>
      <c r="G12" s="61">
        <v>4</v>
      </c>
      <c r="H12" s="61">
        <v>5</v>
      </c>
      <c r="I12" s="62"/>
      <c r="J12" s="61">
        <v>7</v>
      </c>
      <c r="K12" s="61">
        <v>8</v>
      </c>
      <c r="L12" s="61">
        <v>9</v>
      </c>
      <c r="M12" s="61">
        <v>10</v>
      </c>
      <c r="N12" s="61">
        <v>11</v>
      </c>
      <c r="O12" s="61">
        <v>12</v>
      </c>
      <c r="P12" s="63"/>
      <c r="Q12" s="61">
        <v>14</v>
      </c>
      <c r="R12" s="61">
        <v>15</v>
      </c>
      <c r="S12" s="61">
        <v>16</v>
      </c>
      <c r="T12" s="61">
        <v>17</v>
      </c>
      <c r="U12" s="61">
        <v>18</v>
      </c>
      <c r="V12" s="61">
        <v>19</v>
      </c>
      <c r="W12" s="63"/>
      <c r="X12" s="61">
        <v>21</v>
      </c>
      <c r="Y12" s="61">
        <v>22</v>
      </c>
      <c r="Z12" s="61">
        <v>23</v>
      </c>
      <c r="AA12" s="61">
        <v>24</v>
      </c>
      <c r="AB12" s="61">
        <v>25</v>
      </c>
      <c r="AC12" s="61">
        <v>26</v>
      </c>
      <c r="AD12" s="63"/>
      <c r="AE12" s="61">
        <v>28</v>
      </c>
      <c r="AF12" s="61">
        <v>29</v>
      </c>
      <c r="AG12" s="61">
        <v>30</v>
      </c>
      <c r="AH12" s="61">
        <v>31</v>
      </c>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85" t="s">
        <v>107</v>
      </c>
      <c r="G14" s="85" t="s">
        <v>86</v>
      </c>
      <c r="H14" s="43"/>
      <c r="I14" s="22"/>
      <c r="J14" s="43"/>
      <c r="K14" s="43"/>
      <c r="L14" s="43"/>
      <c r="M14" s="43"/>
      <c r="N14" s="43"/>
      <c r="O14" s="43"/>
      <c r="P14" s="22"/>
      <c r="Q14" s="43"/>
      <c r="R14" s="43"/>
      <c r="S14" s="43"/>
      <c r="T14" s="43"/>
      <c r="U14" s="43"/>
      <c r="V14" s="43"/>
      <c r="W14" s="22"/>
      <c r="X14" s="43"/>
      <c r="Y14" s="43"/>
      <c r="Z14" s="43"/>
      <c r="AA14" s="43"/>
      <c r="AB14" s="97" t="s">
        <v>117</v>
      </c>
      <c r="AC14" s="43"/>
      <c r="AD14" s="22"/>
      <c r="AE14" s="43"/>
      <c r="AF14" s="43"/>
      <c r="AG14" s="97" t="s">
        <v>106</v>
      </c>
      <c r="AH14" s="43"/>
      <c r="AI14" s="43"/>
      <c r="AJ14" s="43"/>
      <c r="AK14" s="46">
        <f t="shared" ref="AK14:AK27" si="0">COUNTIF(D14:AJ14,"X")</f>
        <v>1</v>
      </c>
      <c r="AL14" s="46">
        <f t="shared" ref="AL14:AL27" si="1">COUNTIF(D14:AJ14,"T")</f>
        <v>1</v>
      </c>
      <c r="AM14" s="153"/>
      <c r="AN14" s="154"/>
      <c r="AO14" s="154"/>
      <c r="AP14" s="155"/>
    </row>
    <row r="15" spans="1:51"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98"/>
      <c r="AC15" s="43"/>
      <c r="AD15" s="23"/>
      <c r="AE15" s="43"/>
      <c r="AF15" s="43"/>
      <c r="AG15" s="98"/>
      <c r="AH15" s="43"/>
      <c r="AI15" s="43"/>
      <c r="AJ15" s="43"/>
      <c r="AK15" s="46">
        <f t="shared" si="0"/>
        <v>0</v>
      </c>
      <c r="AL15" s="46">
        <f t="shared" si="1"/>
        <v>0</v>
      </c>
      <c r="AM15" s="150"/>
      <c r="AN15" s="151"/>
      <c r="AO15" s="151"/>
      <c r="AP15" s="152"/>
    </row>
    <row r="16" spans="1:51"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98"/>
      <c r="AC16" s="43"/>
      <c r="AD16" s="23"/>
      <c r="AE16" s="43"/>
      <c r="AF16" s="43"/>
      <c r="AG16" s="98"/>
      <c r="AH16" s="43"/>
      <c r="AI16" s="43"/>
      <c r="AJ16" s="43"/>
      <c r="AK16" s="46">
        <f t="shared" si="0"/>
        <v>0</v>
      </c>
      <c r="AL16" s="46">
        <f t="shared" si="1"/>
        <v>0</v>
      </c>
      <c r="AM16" s="150"/>
      <c r="AN16" s="151"/>
      <c r="AO16" s="151"/>
      <c r="AP16" s="152"/>
    </row>
    <row r="17" spans="1:42"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98"/>
      <c r="AC17" s="43"/>
      <c r="AD17" s="23"/>
      <c r="AE17" s="43"/>
      <c r="AF17" s="43"/>
      <c r="AG17" s="98"/>
      <c r="AH17" s="43"/>
      <c r="AI17" s="43"/>
      <c r="AJ17" s="43"/>
      <c r="AK17" s="46">
        <f t="shared" si="0"/>
        <v>0</v>
      </c>
      <c r="AL17" s="46">
        <f t="shared" si="1"/>
        <v>0</v>
      </c>
      <c r="AM17" s="150"/>
      <c r="AN17" s="151"/>
      <c r="AO17" s="151"/>
      <c r="AP17" s="152"/>
    </row>
    <row r="18" spans="1:42"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98"/>
      <c r="AC18" s="43"/>
      <c r="AD18" s="23"/>
      <c r="AE18" s="43"/>
      <c r="AF18" s="43"/>
      <c r="AG18" s="98"/>
      <c r="AH18" s="43"/>
      <c r="AI18" s="43"/>
      <c r="AJ18" s="43"/>
      <c r="AK18" s="46">
        <f t="shared" si="0"/>
        <v>0</v>
      </c>
      <c r="AL18" s="46">
        <f t="shared" si="1"/>
        <v>0</v>
      </c>
      <c r="AM18" s="150"/>
      <c r="AN18" s="151"/>
      <c r="AO18" s="151"/>
      <c r="AP18" s="152"/>
    </row>
    <row r="19" spans="1:42"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98"/>
      <c r="AC19" s="43"/>
      <c r="AD19" s="23"/>
      <c r="AE19" s="43"/>
      <c r="AF19" s="43"/>
      <c r="AG19" s="98"/>
      <c r="AH19" s="43"/>
      <c r="AI19" s="43"/>
      <c r="AJ19" s="43"/>
      <c r="AK19" s="46">
        <f t="shared" si="0"/>
        <v>0</v>
      </c>
      <c r="AL19" s="46">
        <f t="shared" si="1"/>
        <v>0</v>
      </c>
      <c r="AM19" s="150"/>
      <c r="AN19" s="151"/>
      <c r="AO19" s="151"/>
      <c r="AP19" s="152"/>
    </row>
    <row r="20" spans="1:42"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98"/>
      <c r="AC20" s="43"/>
      <c r="AD20" s="23"/>
      <c r="AE20" s="43"/>
      <c r="AF20" s="43"/>
      <c r="AG20" s="98"/>
      <c r="AH20" s="43"/>
      <c r="AI20" s="43"/>
      <c r="AJ20" s="43"/>
      <c r="AK20" s="46">
        <f t="shared" si="0"/>
        <v>0</v>
      </c>
      <c r="AL20" s="46">
        <f t="shared" si="1"/>
        <v>0</v>
      </c>
      <c r="AM20" s="150"/>
      <c r="AN20" s="151"/>
      <c r="AO20" s="151"/>
      <c r="AP20" s="152"/>
    </row>
    <row r="21" spans="1:42"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98"/>
      <c r="AC21" s="43"/>
      <c r="AD21" s="23"/>
      <c r="AE21" s="43"/>
      <c r="AF21" s="43"/>
      <c r="AG21" s="98"/>
      <c r="AH21" s="43"/>
      <c r="AI21" s="43"/>
      <c r="AJ21" s="43"/>
      <c r="AK21" s="46">
        <f t="shared" si="0"/>
        <v>0</v>
      </c>
      <c r="AL21" s="46">
        <f t="shared" si="1"/>
        <v>0</v>
      </c>
      <c r="AM21" s="150"/>
      <c r="AN21" s="151"/>
      <c r="AO21" s="151"/>
      <c r="AP21" s="152"/>
    </row>
    <row r="22" spans="1:42" ht="14.1" customHeight="1">
      <c r="A22" s="42">
        <v>9</v>
      </c>
      <c r="B22" s="52"/>
      <c r="C22" s="43"/>
      <c r="D22" s="43"/>
      <c r="E22" s="43"/>
      <c r="F22" s="43"/>
      <c r="G22" s="43"/>
      <c r="H22" s="43"/>
      <c r="I22" s="23"/>
      <c r="J22" s="43"/>
      <c r="K22" s="43"/>
      <c r="L22" s="43"/>
      <c r="M22" s="43"/>
      <c r="N22" s="43"/>
      <c r="O22" s="43"/>
      <c r="P22" s="23"/>
      <c r="Q22" s="43"/>
      <c r="R22" s="43"/>
      <c r="S22" s="43"/>
      <c r="T22" s="43"/>
      <c r="U22" s="43"/>
      <c r="V22" s="43"/>
      <c r="W22" s="22"/>
      <c r="X22" s="43"/>
      <c r="Y22" s="43"/>
      <c r="Z22" s="43"/>
      <c r="AA22" s="43"/>
      <c r="AB22" s="98"/>
      <c r="AC22" s="43"/>
      <c r="AD22" s="23"/>
      <c r="AE22" s="43"/>
      <c r="AF22" s="43"/>
      <c r="AG22" s="98"/>
      <c r="AH22" s="43"/>
      <c r="AI22" s="43"/>
      <c r="AJ22" s="43"/>
      <c r="AK22" s="46">
        <f t="shared" si="0"/>
        <v>0</v>
      </c>
      <c r="AL22" s="46">
        <f t="shared" si="1"/>
        <v>0</v>
      </c>
      <c r="AM22" s="150"/>
      <c r="AN22" s="151"/>
      <c r="AO22" s="151"/>
      <c r="AP22" s="152"/>
    </row>
    <row r="23" spans="1:42" ht="14.1" customHeight="1">
      <c r="A23" s="42">
        <v>10</v>
      </c>
      <c r="B23" s="53"/>
      <c r="C23" s="43"/>
      <c r="D23" s="43"/>
      <c r="E23" s="43"/>
      <c r="F23" s="43"/>
      <c r="G23" s="43"/>
      <c r="H23" s="43"/>
      <c r="I23" s="23"/>
      <c r="J23" s="43"/>
      <c r="K23" s="43"/>
      <c r="L23" s="43"/>
      <c r="M23" s="43"/>
      <c r="N23" s="43"/>
      <c r="O23" s="43"/>
      <c r="P23" s="23"/>
      <c r="Q23" s="43"/>
      <c r="R23" s="43"/>
      <c r="S23" s="43"/>
      <c r="T23" s="43"/>
      <c r="U23" s="43"/>
      <c r="V23" s="43"/>
      <c r="W23" s="22"/>
      <c r="X23" s="43"/>
      <c r="Y23" s="43"/>
      <c r="Z23" s="43"/>
      <c r="AA23" s="43"/>
      <c r="AB23" s="98"/>
      <c r="AC23" s="43"/>
      <c r="AD23" s="23"/>
      <c r="AE23" s="43"/>
      <c r="AF23" s="43"/>
      <c r="AG23" s="98"/>
      <c r="AH23" s="43"/>
      <c r="AI23" s="43"/>
      <c r="AJ23" s="43"/>
      <c r="AK23" s="46">
        <f t="shared" si="0"/>
        <v>0</v>
      </c>
      <c r="AL23" s="46">
        <f t="shared" si="1"/>
        <v>0</v>
      </c>
      <c r="AM23" s="150"/>
      <c r="AN23" s="151"/>
      <c r="AO23" s="151"/>
      <c r="AP23" s="152"/>
    </row>
    <row r="24" spans="1:42" ht="14.1" customHeight="1">
      <c r="A24" s="42">
        <v>11</v>
      </c>
      <c r="B24" s="53"/>
      <c r="C24" s="43"/>
      <c r="D24" s="43"/>
      <c r="E24" s="43"/>
      <c r="F24" s="43"/>
      <c r="G24" s="43"/>
      <c r="H24" s="43"/>
      <c r="I24" s="23"/>
      <c r="J24" s="43"/>
      <c r="K24" s="43"/>
      <c r="L24" s="43"/>
      <c r="M24" s="43"/>
      <c r="N24" s="43"/>
      <c r="O24" s="43"/>
      <c r="P24" s="23"/>
      <c r="Q24" s="43"/>
      <c r="R24" s="43"/>
      <c r="S24" s="43"/>
      <c r="T24" s="43"/>
      <c r="U24" s="43"/>
      <c r="V24" s="43"/>
      <c r="W24" s="22"/>
      <c r="X24" s="43"/>
      <c r="Y24" s="43"/>
      <c r="Z24" s="43"/>
      <c r="AA24" s="43"/>
      <c r="AB24" s="98"/>
      <c r="AC24" s="43"/>
      <c r="AD24" s="23"/>
      <c r="AE24" s="43"/>
      <c r="AF24" s="43"/>
      <c r="AG24" s="98"/>
      <c r="AH24" s="43"/>
      <c r="AI24" s="43"/>
      <c r="AJ24" s="43"/>
      <c r="AK24" s="46">
        <f t="shared" si="0"/>
        <v>0</v>
      </c>
      <c r="AL24" s="46">
        <f t="shared" si="1"/>
        <v>0</v>
      </c>
      <c r="AM24" s="150"/>
      <c r="AN24" s="151"/>
      <c r="AO24" s="151"/>
      <c r="AP24" s="152"/>
    </row>
    <row r="25" spans="1:42" ht="14.1" customHeight="1">
      <c r="A25" s="42">
        <v>12</v>
      </c>
      <c r="B25" s="52"/>
      <c r="C25" s="43"/>
      <c r="D25" s="43"/>
      <c r="E25" s="43"/>
      <c r="F25" s="43"/>
      <c r="G25" s="43"/>
      <c r="H25" s="43"/>
      <c r="I25" s="23"/>
      <c r="J25" s="43"/>
      <c r="K25" s="43"/>
      <c r="L25" s="43"/>
      <c r="M25" s="43"/>
      <c r="N25" s="43"/>
      <c r="O25" s="43"/>
      <c r="P25" s="23"/>
      <c r="Q25" s="43"/>
      <c r="R25" s="43"/>
      <c r="S25" s="43"/>
      <c r="T25" s="43"/>
      <c r="U25" s="43"/>
      <c r="V25" s="43"/>
      <c r="W25" s="22"/>
      <c r="X25" s="43"/>
      <c r="Y25" s="43"/>
      <c r="Z25" s="43"/>
      <c r="AA25" s="43"/>
      <c r="AB25" s="98"/>
      <c r="AC25" s="43"/>
      <c r="AD25" s="23"/>
      <c r="AE25" s="43"/>
      <c r="AF25" s="43"/>
      <c r="AG25" s="98"/>
      <c r="AH25" s="43"/>
      <c r="AI25" s="43"/>
      <c r="AJ25" s="43"/>
      <c r="AK25" s="46">
        <f t="shared" si="0"/>
        <v>0</v>
      </c>
      <c r="AL25" s="46">
        <f t="shared" si="1"/>
        <v>0</v>
      </c>
      <c r="AM25" s="150"/>
      <c r="AN25" s="151"/>
      <c r="AO25" s="151"/>
      <c r="AP25" s="152"/>
    </row>
    <row r="26" spans="1:42" ht="14.1" customHeight="1">
      <c r="A26" s="42">
        <v>13</v>
      </c>
      <c r="B26" s="54"/>
      <c r="C26" s="43"/>
      <c r="D26" s="43"/>
      <c r="E26" s="43"/>
      <c r="F26" s="43"/>
      <c r="G26" s="43"/>
      <c r="H26" s="43"/>
      <c r="I26" s="23"/>
      <c r="J26" s="43"/>
      <c r="K26" s="43"/>
      <c r="L26" s="43"/>
      <c r="M26" s="43"/>
      <c r="N26" s="43"/>
      <c r="O26" s="43"/>
      <c r="P26" s="23"/>
      <c r="Q26" s="43"/>
      <c r="R26" s="43"/>
      <c r="S26" s="43"/>
      <c r="T26" s="43"/>
      <c r="U26" s="43"/>
      <c r="V26" s="43"/>
      <c r="W26" s="22"/>
      <c r="X26" s="43"/>
      <c r="Y26" s="43"/>
      <c r="Z26" s="43"/>
      <c r="AA26" s="43"/>
      <c r="AB26" s="98"/>
      <c r="AC26" s="43"/>
      <c r="AD26" s="23"/>
      <c r="AE26" s="43"/>
      <c r="AF26" s="43"/>
      <c r="AG26" s="98"/>
      <c r="AH26" s="43"/>
      <c r="AI26" s="43"/>
      <c r="AJ26" s="43"/>
      <c r="AK26" s="46">
        <f t="shared" si="0"/>
        <v>0</v>
      </c>
      <c r="AL26" s="46">
        <f t="shared" si="1"/>
        <v>0</v>
      </c>
      <c r="AM26" s="39"/>
      <c r="AN26" s="40"/>
      <c r="AO26" s="40"/>
      <c r="AP26" s="41"/>
    </row>
    <row r="27" spans="1:42" ht="14.1" customHeight="1" thickBot="1">
      <c r="A27" s="50">
        <v>14</v>
      </c>
      <c r="B27" s="55"/>
      <c r="C27" s="43"/>
      <c r="D27" s="43"/>
      <c r="E27" s="43"/>
      <c r="F27" s="43"/>
      <c r="G27" s="43"/>
      <c r="H27" s="43"/>
      <c r="I27" s="23"/>
      <c r="J27" s="43"/>
      <c r="K27" s="43"/>
      <c r="L27" s="43"/>
      <c r="M27" s="43"/>
      <c r="N27" s="43"/>
      <c r="O27" s="43"/>
      <c r="P27" s="23"/>
      <c r="Q27" s="43"/>
      <c r="R27" s="43"/>
      <c r="S27" s="43"/>
      <c r="T27" s="43"/>
      <c r="U27" s="43"/>
      <c r="V27" s="43"/>
      <c r="W27" s="22"/>
      <c r="X27" s="43"/>
      <c r="Y27" s="43"/>
      <c r="Z27" s="43"/>
      <c r="AA27" s="43"/>
      <c r="AB27" s="98"/>
      <c r="AC27" s="43"/>
      <c r="AD27" s="23"/>
      <c r="AE27" s="43"/>
      <c r="AF27" s="43"/>
      <c r="AG27" s="98"/>
      <c r="AH27" s="43"/>
      <c r="AI27" s="43"/>
      <c r="AJ27" s="43"/>
      <c r="AK27" s="46">
        <f t="shared" si="0"/>
        <v>0</v>
      </c>
      <c r="AL27" s="46">
        <f t="shared" si="1"/>
        <v>0</v>
      </c>
      <c r="AM27" s="150"/>
      <c r="AN27" s="151"/>
      <c r="AO27" s="151"/>
      <c r="AP27" s="152"/>
    </row>
    <row r="28" spans="1:42" ht="15.75" thickBot="1">
      <c r="A28" s="156" t="s">
        <v>34</v>
      </c>
      <c r="B28" s="157"/>
      <c r="C28" s="48">
        <f t="shared" ref="C28:E28" si="2">ROWS(C14:C27) - COUNTIF(C14:C27,"X")</f>
        <v>14</v>
      </c>
      <c r="D28" s="48">
        <f t="shared" si="2"/>
        <v>14</v>
      </c>
      <c r="E28" s="48">
        <f t="shared" si="2"/>
        <v>14</v>
      </c>
      <c r="F28" s="48">
        <f t="shared" ref="F28:H28" si="3">ROWS(F14:F27) - COUNTIF(F14:F27,"X")</f>
        <v>13</v>
      </c>
      <c r="G28" s="48">
        <f t="shared" si="3"/>
        <v>14</v>
      </c>
      <c r="H28" s="48">
        <f t="shared" si="3"/>
        <v>14</v>
      </c>
      <c r="I28" s="45"/>
      <c r="J28" s="48">
        <f t="shared" ref="J28:O28" si="4">ROWS(J14:J27) - COUNTIF(J14:J27,"X")</f>
        <v>14</v>
      </c>
      <c r="K28" s="48">
        <f t="shared" si="4"/>
        <v>14</v>
      </c>
      <c r="L28" s="48">
        <f t="shared" si="4"/>
        <v>14</v>
      </c>
      <c r="M28" s="48">
        <f t="shared" si="4"/>
        <v>14</v>
      </c>
      <c r="N28" s="48">
        <f t="shared" si="4"/>
        <v>14</v>
      </c>
      <c r="O28" s="48">
        <f t="shared" si="4"/>
        <v>14</v>
      </c>
      <c r="P28" s="45"/>
      <c r="Q28" s="48">
        <f t="shared" ref="Q28:V28" si="5">ROWS(Q14:Q27) - COUNTIF(Q14:Q27,"X")</f>
        <v>14</v>
      </c>
      <c r="R28" s="48">
        <f t="shared" si="5"/>
        <v>14</v>
      </c>
      <c r="S28" s="48">
        <f t="shared" si="5"/>
        <v>14</v>
      </c>
      <c r="T28" s="48">
        <f t="shared" si="5"/>
        <v>14</v>
      </c>
      <c r="U28" s="48">
        <f t="shared" si="5"/>
        <v>14</v>
      </c>
      <c r="V28" s="48">
        <f t="shared" si="5"/>
        <v>14</v>
      </c>
      <c r="W28" s="45"/>
      <c r="X28" s="48">
        <f t="shared" ref="X28:AH28" si="6">ROWS(X14:X27) - COUNTIF(X14:X27,"X")</f>
        <v>14</v>
      </c>
      <c r="Y28" s="48">
        <f t="shared" si="6"/>
        <v>14</v>
      </c>
      <c r="Z28" s="48">
        <f t="shared" si="6"/>
        <v>14</v>
      </c>
      <c r="AA28" s="48">
        <f t="shared" si="6"/>
        <v>14</v>
      </c>
      <c r="AB28" s="98"/>
      <c r="AC28" s="48">
        <f t="shared" si="6"/>
        <v>14</v>
      </c>
      <c r="AD28" s="45"/>
      <c r="AE28" s="48">
        <f t="shared" ref="AE28:AF28" si="7">$Y$28</f>
        <v>14</v>
      </c>
      <c r="AF28" s="48">
        <f t="shared" si="7"/>
        <v>14</v>
      </c>
      <c r="AG28" s="98"/>
      <c r="AH28" s="48">
        <f t="shared" si="6"/>
        <v>14</v>
      </c>
      <c r="AI28" s="48"/>
      <c r="AJ28" s="48"/>
      <c r="AK28" s="47">
        <f>SUM(AK14:AK27)</f>
        <v>1</v>
      </c>
      <c r="AL28" s="47">
        <f>SUM(AL14:AL27)</f>
        <v>1</v>
      </c>
      <c r="AM28" s="141">
        <f>SUM(C28:AJ28)</f>
        <v>363</v>
      </c>
      <c r="AN28" s="141"/>
      <c r="AO28" s="141"/>
      <c r="AP28" s="142"/>
    </row>
    <row r="29" spans="1:42" ht="14.1" customHeight="1">
      <c r="A29" s="49">
        <v>1</v>
      </c>
      <c r="B29" s="51"/>
      <c r="C29" s="43"/>
      <c r="D29" s="43"/>
      <c r="E29" s="43"/>
      <c r="F29" s="43"/>
      <c r="G29" s="43"/>
      <c r="H29" s="43"/>
      <c r="I29" s="22"/>
      <c r="J29" s="43"/>
      <c r="K29" s="43"/>
      <c r="L29" s="43"/>
      <c r="M29" s="43"/>
      <c r="N29" s="43"/>
      <c r="O29" s="43"/>
      <c r="P29" s="22"/>
      <c r="Q29" s="43"/>
      <c r="R29" s="43"/>
      <c r="S29" s="43"/>
      <c r="T29" s="43"/>
      <c r="U29" s="43"/>
      <c r="V29" s="43"/>
      <c r="W29" s="22"/>
      <c r="X29" s="43"/>
      <c r="Y29" s="43"/>
      <c r="Z29" s="43"/>
      <c r="AA29" s="43"/>
      <c r="AB29" s="98"/>
      <c r="AC29" s="43"/>
      <c r="AD29" s="22"/>
      <c r="AE29" s="43"/>
      <c r="AF29" s="43"/>
      <c r="AG29" s="98"/>
      <c r="AH29" s="43"/>
      <c r="AI29" s="43"/>
      <c r="AJ29" s="43"/>
      <c r="AK29" s="46">
        <f t="shared" ref="AK29:AK64" si="8">COUNTIF(D29:AJ29,"X")</f>
        <v>0</v>
      </c>
      <c r="AL29" s="46">
        <f t="shared" ref="AL29:AL64" si="9">COUNTIF(D29:AJ29,"T")</f>
        <v>0</v>
      </c>
      <c r="AM29" s="153"/>
      <c r="AN29" s="154"/>
      <c r="AO29" s="154"/>
      <c r="AP29" s="155"/>
    </row>
    <row r="30" spans="1:42" ht="14.1" customHeight="1">
      <c r="A30" s="42">
        <v>2</v>
      </c>
      <c r="B30" s="52"/>
      <c r="C30" s="43"/>
      <c r="D30" s="43"/>
      <c r="E30" s="43"/>
      <c r="F30" s="43"/>
      <c r="G30" s="43"/>
      <c r="H30" s="43"/>
      <c r="I30" s="22"/>
      <c r="J30" s="43"/>
      <c r="K30" s="43"/>
      <c r="L30" s="43"/>
      <c r="M30" s="43"/>
      <c r="N30" s="43"/>
      <c r="O30" s="43"/>
      <c r="P30" s="22"/>
      <c r="Q30" s="43"/>
      <c r="R30" s="43"/>
      <c r="S30" s="43"/>
      <c r="T30" s="43"/>
      <c r="U30" s="43"/>
      <c r="V30" s="43"/>
      <c r="W30" s="22"/>
      <c r="X30" s="43"/>
      <c r="Y30" s="43"/>
      <c r="Z30" s="43"/>
      <c r="AA30" s="43"/>
      <c r="AB30" s="98"/>
      <c r="AC30" s="43"/>
      <c r="AD30" s="22"/>
      <c r="AE30" s="43"/>
      <c r="AF30" s="43"/>
      <c r="AG30" s="98"/>
      <c r="AH30" s="43"/>
      <c r="AI30" s="43"/>
      <c r="AJ30" s="43"/>
      <c r="AK30" s="46">
        <f t="shared" si="8"/>
        <v>0</v>
      </c>
      <c r="AL30" s="46">
        <f t="shared" si="9"/>
        <v>0</v>
      </c>
      <c r="AM30" s="150"/>
      <c r="AN30" s="151"/>
      <c r="AO30" s="151"/>
      <c r="AP30" s="152"/>
    </row>
    <row r="31" spans="1:42" ht="14.1" customHeight="1">
      <c r="A31" s="42">
        <v>3</v>
      </c>
      <c r="B31" s="52"/>
      <c r="C31" s="43"/>
      <c r="D31" s="43"/>
      <c r="E31" s="43"/>
      <c r="F31" s="43"/>
      <c r="G31" s="43"/>
      <c r="H31" s="43"/>
      <c r="I31" s="22"/>
      <c r="J31" s="43"/>
      <c r="K31" s="43"/>
      <c r="L31" s="43"/>
      <c r="M31" s="43"/>
      <c r="N31" s="43"/>
      <c r="O31" s="43"/>
      <c r="P31" s="22"/>
      <c r="Q31" s="43"/>
      <c r="R31" s="43"/>
      <c r="S31" s="43"/>
      <c r="T31" s="43"/>
      <c r="U31" s="43"/>
      <c r="V31" s="43"/>
      <c r="W31" s="22"/>
      <c r="X31" s="43"/>
      <c r="Y31" s="43"/>
      <c r="Z31" s="43"/>
      <c r="AA31" s="43"/>
      <c r="AB31" s="98"/>
      <c r="AC31" s="43"/>
      <c r="AD31" s="22"/>
      <c r="AE31" s="43"/>
      <c r="AF31" s="43"/>
      <c r="AG31" s="98"/>
      <c r="AH31" s="43"/>
      <c r="AI31" s="43"/>
      <c r="AJ31" s="43"/>
      <c r="AK31" s="46">
        <f t="shared" si="8"/>
        <v>0</v>
      </c>
      <c r="AL31" s="46">
        <f t="shared" si="9"/>
        <v>0</v>
      </c>
      <c r="AM31" s="150"/>
      <c r="AN31" s="151"/>
      <c r="AO31" s="151"/>
      <c r="AP31" s="152"/>
    </row>
    <row r="32" spans="1:42" ht="14.1" customHeight="1">
      <c r="A32" s="42">
        <v>4</v>
      </c>
      <c r="B32" s="52"/>
      <c r="C32" s="43"/>
      <c r="D32" s="43"/>
      <c r="E32" s="43"/>
      <c r="F32" s="43"/>
      <c r="G32" s="43"/>
      <c r="H32" s="43"/>
      <c r="I32" s="22"/>
      <c r="J32" s="43"/>
      <c r="K32" s="43"/>
      <c r="L32" s="43"/>
      <c r="M32" s="43"/>
      <c r="N32" s="43"/>
      <c r="O32" s="43"/>
      <c r="P32" s="22"/>
      <c r="Q32" s="43"/>
      <c r="R32" s="43"/>
      <c r="S32" s="43"/>
      <c r="T32" s="43"/>
      <c r="U32" s="43"/>
      <c r="V32" s="43"/>
      <c r="W32" s="22"/>
      <c r="X32" s="43"/>
      <c r="Y32" s="43"/>
      <c r="Z32" s="43"/>
      <c r="AA32" s="43"/>
      <c r="AB32" s="98"/>
      <c r="AC32" s="43"/>
      <c r="AD32" s="22"/>
      <c r="AE32" s="43"/>
      <c r="AF32" s="43"/>
      <c r="AG32" s="98"/>
      <c r="AH32" s="43"/>
      <c r="AI32" s="43"/>
      <c r="AJ32" s="43"/>
      <c r="AK32" s="46">
        <f t="shared" si="8"/>
        <v>0</v>
      </c>
      <c r="AL32" s="46">
        <f t="shared" si="9"/>
        <v>0</v>
      </c>
      <c r="AM32" s="150"/>
      <c r="AN32" s="151"/>
      <c r="AO32" s="151"/>
      <c r="AP32" s="152"/>
    </row>
    <row r="33" spans="1:42" ht="14.1" customHeight="1">
      <c r="A33" s="42">
        <v>5</v>
      </c>
      <c r="B33" s="52"/>
      <c r="C33" s="43"/>
      <c r="D33" s="43"/>
      <c r="E33" s="43"/>
      <c r="F33" s="43"/>
      <c r="G33" s="43"/>
      <c r="H33" s="43"/>
      <c r="I33" s="22"/>
      <c r="J33" s="43"/>
      <c r="K33" s="43"/>
      <c r="L33" s="43"/>
      <c r="M33" s="43"/>
      <c r="N33" s="43"/>
      <c r="O33" s="43"/>
      <c r="P33" s="22"/>
      <c r="Q33" s="43"/>
      <c r="R33" s="43"/>
      <c r="S33" s="43"/>
      <c r="T33" s="43"/>
      <c r="U33" s="43"/>
      <c r="V33" s="43"/>
      <c r="W33" s="22"/>
      <c r="X33" s="43"/>
      <c r="Y33" s="43"/>
      <c r="Z33" s="43"/>
      <c r="AA33" s="43"/>
      <c r="AB33" s="98"/>
      <c r="AC33" s="43"/>
      <c r="AD33" s="22"/>
      <c r="AE33" s="43"/>
      <c r="AF33" s="43"/>
      <c r="AG33" s="98"/>
      <c r="AH33" s="43"/>
      <c r="AI33" s="43"/>
      <c r="AJ33" s="43"/>
      <c r="AK33" s="46">
        <f t="shared" si="8"/>
        <v>0</v>
      </c>
      <c r="AL33" s="46">
        <f t="shared" si="9"/>
        <v>0</v>
      </c>
      <c r="AM33" s="150"/>
      <c r="AN33" s="151"/>
      <c r="AO33" s="151"/>
      <c r="AP33" s="152"/>
    </row>
    <row r="34" spans="1:42" ht="14.1" customHeight="1">
      <c r="A34" s="42">
        <v>6</v>
      </c>
      <c r="B34" s="52"/>
      <c r="C34" s="43"/>
      <c r="D34" s="43"/>
      <c r="E34" s="43"/>
      <c r="F34" s="43"/>
      <c r="G34" s="43"/>
      <c r="H34" s="43"/>
      <c r="I34" s="22"/>
      <c r="J34" s="43"/>
      <c r="K34" s="43"/>
      <c r="L34" s="43"/>
      <c r="M34" s="43"/>
      <c r="N34" s="43"/>
      <c r="O34" s="43"/>
      <c r="P34" s="22"/>
      <c r="Q34" s="43"/>
      <c r="R34" s="43"/>
      <c r="S34" s="43"/>
      <c r="T34" s="43"/>
      <c r="U34" s="43"/>
      <c r="V34" s="43"/>
      <c r="W34" s="22"/>
      <c r="X34" s="43"/>
      <c r="Y34" s="43"/>
      <c r="Z34" s="43"/>
      <c r="AA34" s="43"/>
      <c r="AB34" s="98"/>
      <c r="AC34" s="43"/>
      <c r="AD34" s="22"/>
      <c r="AE34" s="43"/>
      <c r="AF34" s="43"/>
      <c r="AG34" s="98"/>
      <c r="AH34" s="43"/>
      <c r="AI34" s="43"/>
      <c r="AJ34" s="43"/>
      <c r="AK34" s="46">
        <f t="shared" si="8"/>
        <v>0</v>
      </c>
      <c r="AL34" s="46">
        <f t="shared" si="9"/>
        <v>0</v>
      </c>
      <c r="AM34" s="150"/>
      <c r="AN34" s="151"/>
      <c r="AO34" s="151"/>
      <c r="AP34" s="152"/>
    </row>
    <row r="35" spans="1:42" ht="14.1" customHeight="1">
      <c r="A35" s="42">
        <v>7</v>
      </c>
      <c r="B35" s="52"/>
      <c r="C35" s="43"/>
      <c r="D35" s="43"/>
      <c r="E35" s="43"/>
      <c r="F35" s="43"/>
      <c r="G35" s="43"/>
      <c r="H35" s="43"/>
      <c r="I35" s="22"/>
      <c r="J35" s="43"/>
      <c r="K35" s="43"/>
      <c r="L35" s="43"/>
      <c r="M35" s="43"/>
      <c r="N35" s="43"/>
      <c r="O35" s="43"/>
      <c r="P35" s="22"/>
      <c r="Q35" s="43"/>
      <c r="R35" s="43"/>
      <c r="S35" s="43"/>
      <c r="T35" s="43"/>
      <c r="U35" s="43"/>
      <c r="V35" s="43"/>
      <c r="W35" s="22"/>
      <c r="X35" s="43"/>
      <c r="Y35" s="43"/>
      <c r="Z35" s="43"/>
      <c r="AA35" s="43"/>
      <c r="AB35" s="98"/>
      <c r="AC35" s="43"/>
      <c r="AD35" s="22"/>
      <c r="AE35" s="43"/>
      <c r="AF35" s="43"/>
      <c r="AG35" s="98"/>
      <c r="AH35" s="43"/>
      <c r="AI35" s="43"/>
      <c r="AJ35" s="43"/>
      <c r="AK35" s="46">
        <f t="shared" si="8"/>
        <v>0</v>
      </c>
      <c r="AL35" s="46">
        <f t="shared" si="9"/>
        <v>0</v>
      </c>
      <c r="AM35" s="150"/>
      <c r="AN35" s="151"/>
      <c r="AO35" s="151"/>
      <c r="AP35" s="152"/>
    </row>
    <row r="36" spans="1:42" ht="14.1" customHeight="1">
      <c r="A36" s="42">
        <v>8</v>
      </c>
      <c r="B36" s="52"/>
      <c r="C36" s="43"/>
      <c r="D36" s="43"/>
      <c r="E36" s="43"/>
      <c r="F36" s="43"/>
      <c r="G36" s="43"/>
      <c r="H36" s="43"/>
      <c r="I36" s="22"/>
      <c r="J36" s="43"/>
      <c r="K36" s="43"/>
      <c r="L36" s="43"/>
      <c r="M36" s="43"/>
      <c r="N36" s="43"/>
      <c r="O36" s="43"/>
      <c r="P36" s="22"/>
      <c r="Q36" s="43"/>
      <c r="R36" s="43"/>
      <c r="S36" s="43"/>
      <c r="T36" s="43"/>
      <c r="U36" s="43"/>
      <c r="V36" s="43"/>
      <c r="W36" s="22"/>
      <c r="X36" s="43"/>
      <c r="Y36" s="43"/>
      <c r="Z36" s="43"/>
      <c r="AA36" s="43"/>
      <c r="AB36" s="98"/>
      <c r="AC36" s="43"/>
      <c r="AD36" s="22"/>
      <c r="AE36" s="43"/>
      <c r="AF36" s="43"/>
      <c r="AG36" s="98"/>
      <c r="AH36" s="43"/>
      <c r="AI36" s="43"/>
      <c r="AJ36" s="43"/>
      <c r="AK36" s="46">
        <f t="shared" si="8"/>
        <v>0</v>
      </c>
      <c r="AL36" s="46">
        <f t="shared" si="9"/>
        <v>0</v>
      </c>
      <c r="AM36" s="150"/>
      <c r="AN36" s="151"/>
      <c r="AO36" s="151"/>
      <c r="AP36" s="152"/>
    </row>
    <row r="37" spans="1:42" ht="14.1" customHeight="1">
      <c r="A37" s="42">
        <v>9</v>
      </c>
      <c r="B37" s="52"/>
      <c r="C37" s="43"/>
      <c r="D37" s="43"/>
      <c r="E37" s="43"/>
      <c r="F37" s="43"/>
      <c r="G37" s="43"/>
      <c r="H37" s="43"/>
      <c r="I37" s="22"/>
      <c r="J37" s="43"/>
      <c r="K37" s="43"/>
      <c r="L37" s="43"/>
      <c r="M37" s="43"/>
      <c r="N37" s="43"/>
      <c r="O37" s="43"/>
      <c r="P37" s="22"/>
      <c r="Q37" s="43"/>
      <c r="R37" s="43"/>
      <c r="S37" s="43"/>
      <c r="T37" s="43"/>
      <c r="U37" s="43"/>
      <c r="V37" s="43"/>
      <c r="W37" s="22"/>
      <c r="X37" s="43"/>
      <c r="Y37" s="43"/>
      <c r="Z37" s="43"/>
      <c r="AA37" s="43"/>
      <c r="AB37" s="98"/>
      <c r="AC37" s="43"/>
      <c r="AD37" s="22"/>
      <c r="AE37" s="43"/>
      <c r="AF37" s="43"/>
      <c r="AG37" s="98"/>
      <c r="AH37" s="43"/>
      <c r="AI37" s="43"/>
      <c r="AJ37" s="43"/>
      <c r="AK37" s="46">
        <f t="shared" si="8"/>
        <v>0</v>
      </c>
      <c r="AL37" s="46">
        <f t="shared" si="9"/>
        <v>0</v>
      </c>
      <c r="AM37" s="150"/>
      <c r="AN37" s="151"/>
      <c r="AO37" s="151"/>
      <c r="AP37" s="152"/>
    </row>
    <row r="38" spans="1:42" ht="14.1" customHeight="1">
      <c r="A38" s="42">
        <v>10</v>
      </c>
      <c r="B38" s="52"/>
      <c r="C38" s="43"/>
      <c r="D38" s="43"/>
      <c r="E38" s="43"/>
      <c r="F38" s="43"/>
      <c r="G38" s="43"/>
      <c r="H38" s="43"/>
      <c r="I38" s="22"/>
      <c r="J38" s="43"/>
      <c r="K38" s="43"/>
      <c r="L38" s="43"/>
      <c r="M38" s="43"/>
      <c r="N38" s="43"/>
      <c r="O38" s="43"/>
      <c r="P38" s="22"/>
      <c r="Q38" s="43"/>
      <c r="R38" s="43"/>
      <c r="S38" s="43"/>
      <c r="T38" s="43"/>
      <c r="U38" s="43"/>
      <c r="V38" s="43"/>
      <c r="W38" s="22"/>
      <c r="X38" s="43"/>
      <c r="Y38" s="43"/>
      <c r="Z38" s="43"/>
      <c r="AA38" s="43"/>
      <c r="AB38" s="98"/>
      <c r="AC38" s="43"/>
      <c r="AD38" s="22"/>
      <c r="AE38" s="43"/>
      <c r="AF38" s="43"/>
      <c r="AG38" s="98"/>
      <c r="AH38" s="43"/>
      <c r="AI38" s="43"/>
      <c r="AJ38" s="43"/>
      <c r="AK38" s="46">
        <f t="shared" si="8"/>
        <v>0</v>
      </c>
      <c r="AL38" s="46">
        <f t="shared" si="9"/>
        <v>0</v>
      </c>
      <c r="AM38" s="150"/>
      <c r="AN38" s="151"/>
      <c r="AO38" s="151"/>
      <c r="AP38" s="152"/>
    </row>
    <row r="39" spans="1:42" ht="14.1" customHeight="1">
      <c r="A39" s="42">
        <v>11</v>
      </c>
      <c r="B39" s="52"/>
      <c r="C39" s="43"/>
      <c r="D39" s="43"/>
      <c r="E39" s="43"/>
      <c r="F39" s="43"/>
      <c r="G39" s="43"/>
      <c r="H39" s="43"/>
      <c r="I39" s="22"/>
      <c r="J39" s="43"/>
      <c r="K39" s="43"/>
      <c r="L39" s="43"/>
      <c r="M39" s="43"/>
      <c r="N39" s="43"/>
      <c r="O39" s="43"/>
      <c r="P39" s="22"/>
      <c r="Q39" s="43"/>
      <c r="R39" s="43"/>
      <c r="S39" s="43"/>
      <c r="T39" s="43"/>
      <c r="U39" s="43"/>
      <c r="V39" s="43"/>
      <c r="W39" s="22"/>
      <c r="X39" s="43"/>
      <c r="Y39" s="43"/>
      <c r="Z39" s="43"/>
      <c r="AA39" s="43"/>
      <c r="AB39" s="98"/>
      <c r="AC39" s="43"/>
      <c r="AD39" s="22"/>
      <c r="AE39" s="43"/>
      <c r="AF39" s="43"/>
      <c r="AG39" s="98"/>
      <c r="AH39" s="43"/>
      <c r="AI39" s="43"/>
      <c r="AJ39" s="43"/>
      <c r="AK39" s="46">
        <f t="shared" si="8"/>
        <v>0</v>
      </c>
      <c r="AL39" s="46">
        <f t="shared" si="9"/>
        <v>0</v>
      </c>
      <c r="AM39" s="150"/>
      <c r="AN39" s="151"/>
      <c r="AO39" s="151"/>
      <c r="AP39" s="152"/>
    </row>
    <row r="40" spans="1:42" ht="14.1" customHeight="1">
      <c r="A40" s="42">
        <v>12</v>
      </c>
      <c r="B40" s="52"/>
      <c r="C40" s="43"/>
      <c r="D40" s="43"/>
      <c r="E40" s="43"/>
      <c r="F40" s="43"/>
      <c r="G40" s="43"/>
      <c r="H40" s="43"/>
      <c r="I40" s="22"/>
      <c r="J40" s="43"/>
      <c r="K40" s="43"/>
      <c r="L40" s="43"/>
      <c r="M40" s="43"/>
      <c r="N40" s="43"/>
      <c r="O40" s="43"/>
      <c r="P40" s="22"/>
      <c r="Q40" s="43"/>
      <c r="R40" s="43"/>
      <c r="S40" s="43"/>
      <c r="T40" s="43"/>
      <c r="U40" s="43"/>
      <c r="V40" s="43"/>
      <c r="W40" s="22"/>
      <c r="X40" s="43"/>
      <c r="Y40" s="43"/>
      <c r="Z40" s="43"/>
      <c r="AA40" s="43"/>
      <c r="AB40" s="98"/>
      <c r="AC40" s="43"/>
      <c r="AD40" s="22"/>
      <c r="AE40" s="43"/>
      <c r="AF40" s="43"/>
      <c r="AG40" s="98"/>
      <c r="AH40" s="43"/>
      <c r="AI40" s="43"/>
      <c r="AJ40" s="43"/>
      <c r="AK40" s="46">
        <f t="shared" si="8"/>
        <v>0</v>
      </c>
      <c r="AL40" s="46">
        <f t="shared" si="9"/>
        <v>0</v>
      </c>
      <c r="AM40" s="150"/>
      <c r="AN40" s="151"/>
      <c r="AO40" s="151"/>
      <c r="AP40" s="152"/>
    </row>
    <row r="41" spans="1:42" ht="14.1" customHeight="1">
      <c r="A41" s="42">
        <v>13</v>
      </c>
      <c r="B41" s="52"/>
      <c r="C41" s="43"/>
      <c r="D41" s="43"/>
      <c r="E41" s="43"/>
      <c r="F41" s="43"/>
      <c r="G41" s="43"/>
      <c r="H41" s="43"/>
      <c r="I41" s="22"/>
      <c r="J41" s="43"/>
      <c r="K41" s="43"/>
      <c r="L41" s="43"/>
      <c r="M41" s="43"/>
      <c r="N41" s="43"/>
      <c r="O41" s="43"/>
      <c r="P41" s="22"/>
      <c r="Q41" s="43"/>
      <c r="R41" s="43"/>
      <c r="S41" s="43"/>
      <c r="T41" s="43"/>
      <c r="U41" s="43"/>
      <c r="V41" s="43"/>
      <c r="W41" s="22"/>
      <c r="X41" s="43"/>
      <c r="Y41" s="43"/>
      <c r="Z41" s="43"/>
      <c r="AA41" s="43"/>
      <c r="AB41" s="98"/>
      <c r="AC41" s="43"/>
      <c r="AD41" s="22"/>
      <c r="AE41" s="43"/>
      <c r="AF41" s="43"/>
      <c r="AG41" s="98"/>
      <c r="AH41" s="43"/>
      <c r="AI41" s="43"/>
      <c r="AJ41" s="43"/>
      <c r="AK41" s="46">
        <f t="shared" si="8"/>
        <v>0</v>
      </c>
      <c r="AL41" s="46">
        <f t="shared" si="9"/>
        <v>0</v>
      </c>
      <c r="AM41" s="150"/>
      <c r="AN41" s="151"/>
      <c r="AO41" s="151"/>
      <c r="AP41" s="152"/>
    </row>
    <row r="42" spans="1:42" ht="14.1" customHeight="1">
      <c r="A42" s="42">
        <v>14</v>
      </c>
      <c r="B42" s="52"/>
      <c r="C42" s="43"/>
      <c r="D42" s="43"/>
      <c r="E42" s="43"/>
      <c r="F42" s="43"/>
      <c r="G42" s="43"/>
      <c r="H42" s="43"/>
      <c r="I42" s="22"/>
      <c r="J42" s="43"/>
      <c r="K42" s="43"/>
      <c r="L42" s="43"/>
      <c r="M42" s="43"/>
      <c r="N42" s="43"/>
      <c r="O42" s="43"/>
      <c r="P42" s="22"/>
      <c r="Q42" s="43"/>
      <c r="R42" s="43"/>
      <c r="S42" s="43"/>
      <c r="T42" s="43"/>
      <c r="U42" s="43"/>
      <c r="V42" s="43"/>
      <c r="W42" s="22"/>
      <c r="X42" s="43"/>
      <c r="Y42" s="43"/>
      <c r="Z42" s="43"/>
      <c r="AA42" s="43"/>
      <c r="AB42" s="98"/>
      <c r="AC42" s="43"/>
      <c r="AD42" s="22"/>
      <c r="AE42" s="43"/>
      <c r="AF42" s="43"/>
      <c r="AG42" s="98"/>
      <c r="AH42" s="43"/>
      <c r="AI42" s="43"/>
      <c r="AJ42" s="43"/>
      <c r="AK42" s="46">
        <f t="shared" si="8"/>
        <v>0</v>
      </c>
      <c r="AL42" s="46">
        <f t="shared" si="9"/>
        <v>0</v>
      </c>
      <c r="AM42" s="150"/>
      <c r="AN42" s="151"/>
      <c r="AO42" s="151"/>
      <c r="AP42" s="152"/>
    </row>
    <row r="43" spans="1:42" ht="14.1" customHeight="1">
      <c r="A43" s="42">
        <v>15</v>
      </c>
      <c r="B43" s="52"/>
      <c r="C43" s="43"/>
      <c r="D43" s="43"/>
      <c r="E43" s="43"/>
      <c r="F43" s="43"/>
      <c r="G43" s="43"/>
      <c r="H43" s="43"/>
      <c r="I43" s="22"/>
      <c r="J43" s="43"/>
      <c r="K43" s="43"/>
      <c r="L43" s="43"/>
      <c r="M43" s="43"/>
      <c r="N43" s="43"/>
      <c r="O43" s="43"/>
      <c r="P43" s="22"/>
      <c r="Q43" s="43"/>
      <c r="R43" s="43"/>
      <c r="S43" s="43"/>
      <c r="T43" s="43"/>
      <c r="U43" s="43"/>
      <c r="V43" s="43"/>
      <c r="W43" s="22"/>
      <c r="X43" s="43"/>
      <c r="Y43" s="43"/>
      <c r="Z43" s="43"/>
      <c r="AA43" s="43"/>
      <c r="AB43" s="98"/>
      <c r="AC43" s="43"/>
      <c r="AD43" s="22"/>
      <c r="AE43" s="43"/>
      <c r="AF43" s="43"/>
      <c r="AG43" s="98"/>
      <c r="AH43" s="43"/>
      <c r="AI43" s="43"/>
      <c r="AJ43" s="43"/>
      <c r="AK43" s="46">
        <f t="shared" si="8"/>
        <v>0</v>
      </c>
      <c r="AL43" s="46">
        <f t="shared" si="9"/>
        <v>0</v>
      </c>
      <c r="AM43" s="150"/>
      <c r="AN43" s="151"/>
      <c r="AO43" s="151"/>
      <c r="AP43" s="152"/>
    </row>
    <row r="44" spans="1:42" ht="14.1" customHeight="1">
      <c r="A44" s="42">
        <v>16</v>
      </c>
      <c r="B44" s="52"/>
      <c r="C44" s="43"/>
      <c r="D44" s="43"/>
      <c r="E44" s="43"/>
      <c r="F44" s="43"/>
      <c r="G44" s="43"/>
      <c r="H44" s="43"/>
      <c r="I44" s="22"/>
      <c r="J44" s="43"/>
      <c r="K44" s="43"/>
      <c r="L44" s="43"/>
      <c r="M44" s="43"/>
      <c r="N44" s="43"/>
      <c r="O44" s="43"/>
      <c r="P44" s="22"/>
      <c r="Q44" s="43"/>
      <c r="R44" s="43"/>
      <c r="S44" s="43"/>
      <c r="T44" s="43"/>
      <c r="U44" s="43"/>
      <c r="V44" s="43"/>
      <c r="W44" s="22"/>
      <c r="X44" s="43"/>
      <c r="Y44" s="43"/>
      <c r="Z44" s="43"/>
      <c r="AA44" s="43"/>
      <c r="AB44" s="98"/>
      <c r="AC44" s="43"/>
      <c r="AD44" s="22"/>
      <c r="AE44" s="43"/>
      <c r="AF44" s="43"/>
      <c r="AG44" s="98"/>
      <c r="AH44" s="43"/>
      <c r="AI44" s="43"/>
      <c r="AJ44" s="43"/>
      <c r="AK44" s="46">
        <f t="shared" si="8"/>
        <v>0</v>
      </c>
      <c r="AL44" s="46">
        <f t="shared" si="9"/>
        <v>0</v>
      </c>
      <c r="AM44" s="150"/>
      <c r="AN44" s="151"/>
      <c r="AO44" s="151"/>
      <c r="AP44" s="152"/>
    </row>
    <row r="45" spans="1:42" ht="14.1" customHeight="1">
      <c r="A45" s="42">
        <v>17</v>
      </c>
      <c r="B45" s="52"/>
      <c r="C45" s="43"/>
      <c r="D45" s="43"/>
      <c r="E45" s="43"/>
      <c r="F45" s="43"/>
      <c r="G45" s="43"/>
      <c r="H45" s="43"/>
      <c r="I45" s="22"/>
      <c r="J45" s="43"/>
      <c r="K45" s="43"/>
      <c r="L45" s="43"/>
      <c r="M45" s="43"/>
      <c r="N45" s="43"/>
      <c r="O45" s="43"/>
      <c r="P45" s="22"/>
      <c r="Q45" s="43"/>
      <c r="R45" s="43"/>
      <c r="S45" s="43"/>
      <c r="T45" s="43"/>
      <c r="U45" s="43"/>
      <c r="V45" s="43"/>
      <c r="W45" s="22"/>
      <c r="X45" s="43"/>
      <c r="Y45" s="43"/>
      <c r="Z45" s="43"/>
      <c r="AA45" s="43"/>
      <c r="AB45" s="98"/>
      <c r="AC45" s="43"/>
      <c r="AD45" s="22"/>
      <c r="AE45" s="43"/>
      <c r="AF45" s="43"/>
      <c r="AG45" s="98"/>
      <c r="AH45" s="43"/>
      <c r="AI45" s="43"/>
      <c r="AJ45" s="43"/>
      <c r="AK45" s="46">
        <f t="shared" si="8"/>
        <v>0</v>
      </c>
      <c r="AL45" s="46">
        <f t="shared" si="9"/>
        <v>0</v>
      </c>
      <c r="AM45" s="150"/>
      <c r="AN45" s="151"/>
      <c r="AO45" s="151"/>
      <c r="AP45" s="152"/>
    </row>
    <row r="46" spans="1:42" ht="14.1" customHeight="1">
      <c r="A46" s="42">
        <v>18</v>
      </c>
      <c r="B46" s="52"/>
      <c r="C46" s="43"/>
      <c r="D46" s="43"/>
      <c r="E46" s="43"/>
      <c r="F46" s="43"/>
      <c r="G46" s="43"/>
      <c r="H46" s="43"/>
      <c r="I46" s="22"/>
      <c r="J46" s="43"/>
      <c r="K46" s="43"/>
      <c r="L46" s="43"/>
      <c r="M46" s="43"/>
      <c r="N46" s="43"/>
      <c r="O46" s="43"/>
      <c r="P46" s="22"/>
      <c r="Q46" s="43"/>
      <c r="R46" s="43"/>
      <c r="S46" s="43"/>
      <c r="T46" s="43"/>
      <c r="U46" s="43"/>
      <c r="V46" s="43"/>
      <c r="W46" s="22"/>
      <c r="X46" s="43"/>
      <c r="Y46" s="43"/>
      <c r="Z46" s="43"/>
      <c r="AA46" s="43"/>
      <c r="AB46" s="98"/>
      <c r="AC46" s="43"/>
      <c r="AD46" s="22"/>
      <c r="AE46" s="43"/>
      <c r="AF46" s="43"/>
      <c r="AG46" s="98"/>
      <c r="AH46" s="43"/>
      <c r="AI46" s="43"/>
      <c r="AJ46" s="43"/>
      <c r="AK46" s="46">
        <f t="shared" si="8"/>
        <v>0</v>
      </c>
      <c r="AL46" s="46">
        <f t="shared" si="9"/>
        <v>0</v>
      </c>
      <c r="AM46" s="150"/>
      <c r="AN46" s="151"/>
      <c r="AO46" s="151"/>
      <c r="AP46" s="152"/>
    </row>
    <row r="47" spans="1:42" ht="14.1" customHeight="1">
      <c r="A47" s="42">
        <v>19</v>
      </c>
      <c r="B47" s="56"/>
      <c r="C47" s="43"/>
      <c r="D47" s="43"/>
      <c r="E47" s="43"/>
      <c r="F47" s="43"/>
      <c r="G47" s="43"/>
      <c r="H47" s="43"/>
      <c r="I47" s="22"/>
      <c r="J47" s="43"/>
      <c r="K47" s="43"/>
      <c r="L47" s="43"/>
      <c r="M47" s="43"/>
      <c r="N47" s="43"/>
      <c r="O47" s="43"/>
      <c r="P47" s="22"/>
      <c r="Q47" s="43"/>
      <c r="R47" s="43"/>
      <c r="S47" s="43"/>
      <c r="T47" s="43"/>
      <c r="U47" s="43"/>
      <c r="V47" s="43"/>
      <c r="W47" s="22"/>
      <c r="X47" s="43"/>
      <c r="Y47" s="43"/>
      <c r="Z47" s="43"/>
      <c r="AA47" s="43"/>
      <c r="AB47" s="98"/>
      <c r="AC47" s="43"/>
      <c r="AD47" s="22"/>
      <c r="AE47" s="43"/>
      <c r="AF47" s="43"/>
      <c r="AG47" s="98"/>
      <c r="AH47" s="43"/>
      <c r="AI47" s="43"/>
      <c r="AJ47" s="43"/>
      <c r="AK47" s="46">
        <f t="shared" si="8"/>
        <v>0</v>
      </c>
      <c r="AL47" s="46">
        <f t="shared" si="9"/>
        <v>0</v>
      </c>
      <c r="AM47" s="150"/>
      <c r="AN47" s="151"/>
      <c r="AO47" s="151"/>
      <c r="AP47" s="152"/>
    </row>
    <row r="48" spans="1:42" ht="14.1" customHeight="1">
      <c r="A48" s="42">
        <v>20</v>
      </c>
      <c r="B48" s="52"/>
      <c r="C48" s="43"/>
      <c r="D48" s="43"/>
      <c r="E48" s="43"/>
      <c r="F48" s="43"/>
      <c r="G48" s="43"/>
      <c r="H48" s="43"/>
      <c r="I48" s="22"/>
      <c r="J48" s="43"/>
      <c r="K48" s="43"/>
      <c r="L48" s="43"/>
      <c r="M48" s="43"/>
      <c r="N48" s="43"/>
      <c r="O48" s="43"/>
      <c r="P48" s="22"/>
      <c r="Q48" s="43"/>
      <c r="R48" s="43"/>
      <c r="S48" s="43"/>
      <c r="T48" s="43"/>
      <c r="U48" s="43"/>
      <c r="V48" s="43"/>
      <c r="W48" s="22"/>
      <c r="X48" s="43"/>
      <c r="Y48" s="43"/>
      <c r="Z48" s="43"/>
      <c r="AA48" s="43"/>
      <c r="AB48" s="98"/>
      <c r="AC48" s="43"/>
      <c r="AD48" s="22"/>
      <c r="AE48" s="43"/>
      <c r="AF48" s="43"/>
      <c r="AG48" s="98"/>
      <c r="AH48" s="43"/>
      <c r="AI48" s="43"/>
      <c r="AJ48" s="43"/>
      <c r="AK48" s="46">
        <f t="shared" si="8"/>
        <v>0</v>
      </c>
      <c r="AL48" s="46">
        <f t="shared" si="9"/>
        <v>0</v>
      </c>
      <c r="AM48" s="150"/>
      <c r="AN48" s="151"/>
      <c r="AO48" s="151"/>
      <c r="AP48" s="152"/>
    </row>
    <row r="49" spans="1:42" ht="14.1" customHeight="1">
      <c r="A49" s="42">
        <v>21</v>
      </c>
      <c r="B49" s="52"/>
      <c r="C49" s="43"/>
      <c r="D49" s="43"/>
      <c r="E49" s="43"/>
      <c r="F49" s="43"/>
      <c r="G49" s="43"/>
      <c r="H49" s="43"/>
      <c r="I49" s="22"/>
      <c r="J49" s="43"/>
      <c r="K49" s="43"/>
      <c r="L49" s="43"/>
      <c r="M49" s="43"/>
      <c r="N49" s="43"/>
      <c r="O49" s="43"/>
      <c r="P49" s="22"/>
      <c r="Q49" s="43"/>
      <c r="R49" s="43"/>
      <c r="S49" s="43"/>
      <c r="T49" s="43"/>
      <c r="U49" s="43"/>
      <c r="V49" s="43"/>
      <c r="W49" s="22"/>
      <c r="X49" s="43"/>
      <c r="Y49" s="43"/>
      <c r="Z49" s="43"/>
      <c r="AA49" s="43"/>
      <c r="AB49" s="98"/>
      <c r="AC49" s="43"/>
      <c r="AD49" s="22"/>
      <c r="AE49" s="43"/>
      <c r="AF49" s="43"/>
      <c r="AG49" s="98"/>
      <c r="AH49" s="43"/>
      <c r="AI49" s="43"/>
      <c r="AJ49" s="43"/>
      <c r="AK49" s="46">
        <f t="shared" si="8"/>
        <v>0</v>
      </c>
      <c r="AL49" s="46">
        <f t="shared" si="9"/>
        <v>0</v>
      </c>
      <c r="AM49" s="150"/>
      <c r="AN49" s="151"/>
      <c r="AO49" s="151"/>
      <c r="AP49" s="152"/>
    </row>
    <row r="50" spans="1:42" ht="14.1" customHeight="1">
      <c r="A50" s="42">
        <v>22</v>
      </c>
      <c r="B50" s="52"/>
      <c r="C50" s="43"/>
      <c r="D50" s="43"/>
      <c r="E50" s="43"/>
      <c r="F50" s="43"/>
      <c r="G50" s="43"/>
      <c r="H50" s="43"/>
      <c r="I50" s="22"/>
      <c r="J50" s="43"/>
      <c r="K50" s="43"/>
      <c r="L50" s="43"/>
      <c r="M50" s="43"/>
      <c r="N50" s="43"/>
      <c r="O50" s="43"/>
      <c r="P50" s="22"/>
      <c r="Q50" s="43"/>
      <c r="R50" s="43"/>
      <c r="S50" s="43"/>
      <c r="T50" s="43"/>
      <c r="U50" s="43"/>
      <c r="V50" s="43"/>
      <c r="W50" s="22"/>
      <c r="X50" s="43"/>
      <c r="Y50" s="43"/>
      <c r="Z50" s="43"/>
      <c r="AA50" s="43"/>
      <c r="AB50" s="98"/>
      <c r="AC50" s="43"/>
      <c r="AD50" s="22"/>
      <c r="AE50" s="43"/>
      <c r="AF50" s="43"/>
      <c r="AG50" s="98"/>
      <c r="AH50" s="43"/>
      <c r="AI50" s="43"/>
      <c r="AJ50" s="43"/>
      <c r="AK50" s="46">
        <f t="shared" si="8"/>
        <v>0</v>
      </c>
      <c r="AL50" s="46">
        <f t="shared" si="9"/>
        <v>0</v>
      </c>
      <c r="AM50" s="39"/>
      <c r="AN50" s="40"/>
      <c r="AO50" s="40"/>
      <c r="AP50" s="41"/>
    </row>
    <row r="51" spans="1:42" ht="14.1" customHeight="1">
      <c r="A51" s="42">
        <v>23</v>
      </c>
      <c r="B51" s="52"/>
      <c r="C51" s="43"/>
      <c r="D51" s="43"/>
      <c r="E51" s="43"/>
      <c r="F51" s="43"/>
      <c r="G51" s="43"/>
      <c r="H51" s="43"/>
      <c r="I51" s="22"/>
      <c r="J51" s="43"/>
      <c r="K51" s="43"/>
      <c r="L51" s="43"/>
      <c r="M51" s="43"/>
      <c r="N51" s="43"/>
      <c r="O51" s="43"/>
      <c r="P51" s="22"/>
      <c r="Q51" s="43"/>
      <c r="R51" s="43"/>
      <c r="S51" s="43"/>
      <c r="T51" s="43"/>
      <c r="U51" s="43"/>
      <c r="V51" s="43"/>
      <c r="W51" s="22"/>
      <c r="X51" s="43"/>
      <c r="Y51" s="43"/>
      <c r="Z51" s="43"/>
      <c r="AA51" s="43"/>
      <c r="AB51" s="98"/>
      <c r="AC51" s="43"/>
      <c r="AD51" s="22"/>
      <c r="AE51" s="43"/>
      <c r="AF51" s="43"/>
      <c r="AG51" s="98"/>
      <c r="AH51" s="43"/>
      <c r="AI51" s="43"/>
      <c r="AJ51" s="43"/>
      <c r="AK51" s="46">
        <f t="shared" si="8"/>
        <v>0</v>
      </c>
      <c r="AL51" s="46">
        <f t="shared" si="9"/>
        <v>0</v>
      </c>
      <c r="AM51" s="39"/>
      <c r="AN51" s="40"/>
      <c r="AO51" s="40"/>
      <c r="AP51" s="41"/>
    </row>
    <row r="52" spans="1:42" ht="14.1" customHeight="1">
      <c r="A52" s="42">
        <v>24</v>
      </c>
      <c r="B52" s="52"/>
      <c r="C52" s="43"/>
      <c r="D52" s="43"/>
      <c r="E52" s="43"/>
      <c r="F52" s="43"/>
      <c r="G52" s="43"/>
      <c r="H52" s="43"/>
      <c r="I52" s="22"/>
      <c r="J52" s="43"/>
      <c r="K52" s="43"/>
      <c r="L52" s="43"/>
      <c r="M52" s="43"/>
      <c r="N52" s="43"/>
      <c r="O52" s="43"/>
      <c r="P52" s="22"/>
      <c r="Q52" s="43"/>
      <c r="R52" s="43"/>
      <c r="S52" s="43"/>
      <c r="T52" s="43"/>
      <c r="U52" s="43"/>
      <c r="V52" s="43"/>
      <c r="W52" s="22"/>
      <c r="X52" s="43"/>
      <c r="Y52" s="43"/>
      <c r="Z52" s="43"/>
      <c r="AA52" s="43"/>
      <c r="AB52" s="98"/>
      <c r="AC52" s="43"/>
      <c r="AD52" s="22"/>
      <c r="AE52" s="43"/>
      <c r="AF52" s="43"/>
      <c r="AG52" s="98"/>
      <c r="AH52" s="43"/>
      <c r="AI52" s="43"/>
      <c r="AJ52" s="43"/>
      <c r="AK52" s="46">
        <f t="shared" si="8"/>
        <v>0</v>
      </c>
      <c r="AL52" s="46">
        <f t="shared" si="9"/>
        <v>0</v>
      </c>
      <c r="AM52" s="39"/>
      <c r="AN52" s="40"/>
      <c r="AO52" s="40"/>
      <c r="AP52" s="41"/>
    </row>
    <row r="53" spans="1:42" ht="14.1" customHeight="1">
      <c r="A53" s="42">
        <v>25</v>
      </c>
      <c r="B53" s="52"/>
      <c r="C53" s="43"/>
      <c r="D53" s="43"/>
      <c r="E53" s="43"/>
      <c r="F53" s="43"/>
      <c r="G53" s="43"/>
      <c r="H53" s="43"/>
      <c r="I53" s="22"/>
      <c r="J53" s="43"/>
      <c r="K53" s="43"/>
      <c r="L53" s="43"/>
      <c r="M53" s="43"/>
      <c r="N53" s="43"/>
      <c r="O53" s="43"/>
      <c r="P53" s="22"/>
      <c r="Q53" s="43"/>
      <c r="R53" s="43"/>
      <c r="S53" s="43"/>
      <c r="T53" s="43"/>
      <c r="U53" s="43"/>
      <c r="V53" s="43"/>
      <c r="W53" s="22"/>
      <c r="X53" s="43"/>
      <c r="Y53" s="43"/>
      <c r="Z53" s="43"/>
      <c r="AA53" s="43"/>
      <c r="AB53" s="98"/>
      <c r="AC53" s="43"/>
      <c r="AD53" s="22"/>
      <c r="AE53" s="43"/>
      <c r="AF53" s="43"/>
      <c r="AG53" s="98"/>
      <c r="AH53" s="43"/>
      <c r="AI53" s="43"/>
      <c r="AJ53" s="43"/>
      <c r="AK53" s="46">
        <f t="shared" si="8"/>
        <v>0</v>
      </c>
      <c r="AL53" s="46">
        <f t="shared" si="9"/>
        <v>0</v>
      </c>
      <c r="AM53" s="39"/>
      <c r="AN53" s="40"/>
      <c r="AO53" s="40"/>
      <c r="AP53" s="41"/>
    </row>
    <row r="54" spans="1:42" ht="14.1" customHeight="1">
      <c r="A54" s="42">
        <v>26</v>
      </c>
      <c r="B54" s="52"/>
      <c r="C54" s="43"/>
      <c r="D54" s="43"/>
      <c r="E54" s="43"/>
      <c r="F54" s="43"/>
      <c r="G54" s="43"/>
      <c r="H54" s="43"/>
      <c r="I54" s="22"/>
      <c r="J54" s="43"/>
      <c r="K54" s="43"/>
      <c r="L54" s="43"/>
      <c r="M54" s="43"/>
      <c r="N54" s="43"/>
      <c r="O54" s="43"/>
      <c r="P54" s="22"/>
      <c r="Q54" s="43"/>
      <c r="R54" s="43"/>
      <c r="S54" s="43"/>
      <c r="T54" s="43"/>
      <c r="U54" s="43"/>
      <c r="V54" s="43"/>
      <c r="W54" s="22"/>
      <c r="X54" s="43"/>
      <c r="Y54" s="43"/>
      <c r="Z54" s="43"/>
      <c r="AA54" s="43"/>
      <c r="AB54" s="98"/>
      <c r="AC54" s="43"/>
      <c r="AD54" s="22"/>
      <c r="AE54" s="43"/>
      <c r="AF54" s="43"/>
      <c r="AG54" s="98"/>
      <c r="AH54" s="43"/>
      <c r="AI54" s="43"/>
      <c r="AJ54" s="43"/>
      <c r="AK54" s="46">
        <f t="shared" si="8"/>
        <v>0</v>
      </c>
      <c r="AL54" s="46">
        <f t="shared" si="9"/>
        <v>0</v>
      </c>
      <c r="AM54" s="39"/>
      <c r="AN54" s="40"/>
      <c r="AO54" s="40"/>
      <c r="AP54" s="41"/>
    </row>
    <row r="55" spans="1:42" ht="14.1" customHeight="1">
      <c r="A55" s="42">
        <v>27</v>
      </c>
      <c r="B55" s="52"/>
      <c r="C55" s="43"/>
      <c r="D55" s="43"/>
      <c r="E55" s="43"/>
      <c r="F55" s="43"/>
      <c r="G55" s="43"/>
      <c r="H55" s="43"/>
      <c r="I55" s="22"/>
      <c r="J55" s="43"/>
      <c r="K55" s="43"/>
      <c r="L55" s="43"/>
      <c r="M55" s="43"/>
      <c r="N55" s="43"/>
      <c r="O55" s="43"/>
      <c r="P55" s="22"/>
      <c r="Q55" s="43"/>
      <c r="R55" s="43"/>
      <c r="S55" s="43"/>
      <c r="T55" s="43"/>
      <c r="U55" s="43"/>
      <c r="V55" s="43"/>
      <c r="W55" s="22"/>
      <c r="X55" s="43"/>
      <c r="Y55" s="43"/>
      <c r="Z55" s="43"/>
      <c r="AA55" s="43"/>
      <c r="AB55" s="98"/>
      <c r="AC55" s="43"/>
      <c r="AD55" s="22"/>
      <c r="AE55" s="43"/>
      <c r="AF55" s="43"/>
      <c r="AG55" s="98"/>
      <c r="AH55" s="43"/>
      <c r="AI55" s="43"/>
      <c r="AJ55" s="43"/>
      <c r="AK55" s="46">
        <f t="shared" si="8"/>
        <v>0</v>
      </c>
      <c r="AL55" s="46">
        <f t="shared" si="9"/>
        <v>0</v>
      </c>
      <c r="AM55" s="39"/>
      <c r="AN55" s="40"/>
      <c r="AO55" s="40"/>
      <c r="AP55" s="41"/>
    </row>
    <row r="56" spans="1:42" ht="14.1" customHeight="1">
      <c r="A56" s="42">
        <v>28</v>
      </c>
      <c r="B56" s="52"/>
      <c r="C56" s="43"/>
      <c r="D56" s="43"/>
      <c r="E56" s="43"/>
      <c r="F56" s="43"/>
      <c r="G56" s="43"/>
      <c r="H56" s="43"/>
      <c r="I56" s="22"/>
      <c r="J56" s="43"/>
      <c r="K56" s="43"/>
      <c r="L56" s="43"/>
      <c r="M56" s="43"/>
      <c r="N56" s="43"/>
      <c r="O56" s="43"/>
      <c r="P56" s="22"/>
      <c r="Q56" s="43"/>
      <c r="R56" s="43"/>
      <c r="S56" s="43"/>
      <c r="T56" s="43"/>
      <c r="U56" s="43"/>
      <c r="V56" s="43"/>
      <c r="W56" s="22"/>
      <c r="X56" s="43"/>
      <c r="Y56" s="43"/>
      <c r="Z56" s="43"/>
      <c r="AA56" s="43"/>
      <c r="AB56" s="98"/>
      <c r="AC56" s="43"/>
      <c r="AD56" s="22"/>
      <c r="AE56" s="43"/>
      <c r="AF56" s="43"/>
      <c r="AG56" s="98"/>
      <c r="AH56" s="43"/>
      <c r="AI56" s="43"/>
      <c r="AJ56" s="43"/>
      <c r="AK56" s="46">
        <f t="shared" si="8"/>
        <v>0</v>
      </c>
      <c r="AL56" s="46">
        <f t="shared" si="9"/>
        <v>0</v>
      </c>
      <c r="AM56" s="39"/>
      <c r="AN56" s="40"/>
      <c r="AO56" s="40"/>
      <c r="AP56" s="41"/>
    </row>
    <row r="57" spans="1:42" ht="14.1" customHeight="1">
      <c r="A57" s="42">
        <v>29</v>
      </c>
      <c r="B57" s="52"/>
      <c r="C57" s="43"/>
      <c r="D57" s="43"/>
      <c r="E57" s="43"/>
      <c r="F57" s="43"/>
      <c r="G57" s="43"/>
      <c r="H57" s="43"/>
      <c r="I57" s="22"/>
      <c r="J57" s="43"/>
      <c r="K57" s="43"/>
      <c r="L57" s="43"/>
      <c r="M57" s="43"/>
      <c r="N57" s="43"/>
      <c r="O57" s="43"/>
      <c r="P57" s="22"/>
      <c r="Q57" s="43"/>
      <c r="R57" s="43"/>
      <c r="S57" s="43"/>
      <c r="T57" s="43"/>
      <c r="U57" s="43"/>
      <c r="V57" s="43"/>
      <c r="W57" s="22"/>
      <c r="X57" s="43"/>
      <c r="Y57" s="43"/>
      <c r="Z57" s="43"/>
      <c r="AA57" s="43"/>
      <c r="AB57" s="98"/>
      <c r="AC57" s="43"/>
      <c r="AD57" s="22"/>
      <c r="AE57" s="43"/>
      <c r="AF57" s="43"/>
      <c r="AG57" s="98"/>
      <c r="AH57" s="43"/>
      <c r="AI57" s="43"/>
      <c r="AJ57" s="43"/>
      <c r="AK57" s="46">
        <f t="shared" si="8"/>
        <v>0</v>
      </c>
      <c r="AL57" s="46">
        <f t="shared" si="9"/>
        <v>0</v>
      </c>
      <c r="AM57" s="39"/>
      <c r="AN57" s="40"/>
      <c r="AO57" s="40"/>
      <c r="AP57" s="41"/>
    </row>
    <row r="58" spans="1:42" ht="14.1" customHeight="1">
      <c r="A58" s="42">
        <v>30</v>
      </c>
      <c r="B58" s="52"/>
      <c r="C58" s="43"/>
      <c r="D58" s="43"/>
      <c r="E58" s="43"/>
      <c r="F58" s="43"/>
      <c r="G58" s="43"/>
      <c r="H58" s="43"/>
      <c r="I58" s="22"/>
      <c r="J58" s="43"/>
      <c r="K58" s="43"/>
      <c r="L58" s="43"/>
      <c r="M58" s="43"/>
      <c r="N58" s="43"/>
      <c r="O58" s="43"/>
      <c r="P58" s="22"/>
      <c r="Q58" s="43"/>
      <c r="R58" s="43"/>
      <c r="S58" s="43"/>
      <c r="T58" s="43"/>
      <c r="U58" s="43"/>
      <c r="V58" s="43"/>
      <c r="W58" s="22"/>
      <c r="X58" s="43"/>
      <c r="Y58" s="43"/>
      <c r="Z58" s="43"/>
      <c r="AA58" s="43"/>
      <c r="AB58" s="98"/>
      <c r="AC58" s="43"/>
      <c r="AD58" s="22"/>
      <c r="AE58" s="43"/>
      <c r="AF58" s="43"/>
      <c r="AG58" s="98"/>
      <c r="AH58" s="43"/>
      <c r="AI58" s="43"/>
      <c r="AJ58" s="43"/>
      <c r="AK58" s="46">
        <f t="shared" si="8"/>
        <v>0</v>
      </c>
      <c r="AL58" s="46">
        <f t="shared" si="9"/>
        <v>0</v>
      </c>
      <c r="AM58" s="39"/>
      <c r="AN58" s="40"/>
      <c r="AO58" s="40"/>
      <c r="AP58" s="41"/>
    </row>
    <row r="59" spans="1:42" ht="14.1" customHeight="1">
      <c r="A59" s="42">
        <v>31</v>
      </c>
      <c r="B59" s="52"/>
      <c r="C59" s="43"/>
      <c r="D59" s="43"/>
      <c r="E59" s="43"/>
      <c r="F59" s="43"/>
      <c r="G59" s="43"/>
      <c r="H59" s="43"/>
      <c r="I59" s="22"/>
      <c r="J59" s="43"/>
      <c r="K59" s="43"/>
      <c r="L59" s="43"/>
      <c r="M59" s="43"/>
      <c r="N59" s="43"/>
      <c r="O59" s="43"/>
      <c r="P59" s="22"/>
      <c r="Q59" s="43"/>
      <c r="R59" s="43"/>
      <c r="S59" s="43"/>
      <c r="T59" s="43"/>
      <c r="U59" s="43"/>
      <c r="V59" s="43"/>
      <c r="W59" s="22"/>
      <c r="X59" s="43"/>
      <c r="Y59" s="43"/>
      <c r="Z59" s="43"/>
      <c r="AA59" s="43"/>
      <c r="AB59" s="98"/>
      <c r="AC59" s="43"/>
      <c r="AD59" s="22"/>
      <c r="AE59" s="43"/>
      <c r="AF59" s="43"/>
      <c r="AG59" s="98"/>
      <c r="AH59" s="43"/>
      <c r="AI59" s="43"/>
      <c r="AJ59" s="43"/>
      <c r="AK59" s="46">
        <f t="shared" si="8"/>
        <v>0</v>
      </c>
      <c r="AL59" s="46">
        <f t="shared" si="9"/>
        <v>0</v>
      </c>
      <c r="AM59" s="39"/>
      <c r="AN59" s="40"/>
      <c r="AO59" s="40"/>
      <c r="AP59" s="41"/>
    </row>
    <row r="60" spans="1:42" ht="14.1" customHeight="1">
      <c r="A60" s="42">
        <v>32</v>
      </c>
      <c r="B60" s="52"/>
      <c r="C60" s="43"/>
      <c r="D60" s="43"/>
      <c r="E60" s="43"/>
      <c r="F60" s="43"/>
      <c r="G60" s="43"/>
      <c r="H60" s="43"/>
      <c r="I60" s="22"/>
      <c r="J60" s="43"/>
      <c r="K60" s="43"/>
      <c r="L60" s="43"/>
      <c r="M60" s="43"/>
      <c r="N60" s="43"/>
      <c r="O60" s="43"/>
      <c r="P60" s="22"/>
      <c r="Q60" s="43"/>
      <c r="R60" s="43"/>
      <c r="S60" s="43"/>
      <c r="T60" s="43"/>
      <c r="U60" s="43"/>
      <c r="V60" s="43"/>
      <c r="W60" s="22"/>
      <c r="X60" s="43"/>
      <c r="Y60" s="43"/>
      <c r="Z60" s="43"/>
      <c r="AA60" s="43"/>
      <c r="AB60" s="98"/>
      <c r="AC60" s="43"/>
      <c r="AD60" s="22"/>
      <c r="AE60" s="43"/>
      <c r="AF60" s="43"/>
      <c r="AG60" s="98"/>
      <c r="AH60" s="43"/>
      <c r="AI60" s="43"/>
      <c r="AJ60" s="43"/>
      <c r="AK60" s="46">
        <f t="shared" si="8"/>
        <v>0</v>
      </c>
      <c r="AL60" s="46">
        <f t="shared" si="9"/>
        <v>0</v>
      </c>
      <c r="AM60" s="39"/>
      <c r="AN60" s="40"/>
      <c r="AO60" s="40"/>
      <c r="AP60" s="41"/>
    </row>
    <row r="61" spans="1:42" ht="14.1" customHeight="1">
      <c r="A61" s="42">
        <v>33</v>
      </c>
      <c r="B61" s="52"/>
      <c r="C61" s="43"/>
      <c r="D61" s="43"/>
      <c r="E61" s="43"/>
      <c r="F61" s="43"/>
      <c r="G61" s="43"/>
      <c r="H61" s="43"/>
      <c r="I61" s="22"/>
      <c r="J61" s="43"/>
      <c r="K61" s="43"/>
      <c r="L61" s="43"/>
      <c r="M61" s="43"/>
      <c r="N61" s="43"/>
      <c r="O61" s="43"/>
      <c r="P61" s="22"/>
      <c r="Q61" s="43"/>
      <c r="R61" s="43"/>
      <c r="S61" s="43"/>
      <c r="T61" s="43"/>
      <c r="U61" s="43"/>
      <c r="V61" s="43"/>
      <c r="W61" s="22"/>
      <c r="X61" s="43"/>
      <c r="Y61" s="43"/>
      <c r="Z61" s="43"/>
      <c r="AA61" s="43"/>
      <c r="AB61" s="98"/>
      <c r="AC61" s="43"/>
      <c r="AD61" s="22"/>
      <c r="AE61" s="43"/>
      <c r="AF61" s="43"/>
      <c r="AG61" s="98"/>
      <c r="AH61" s="43"/>
      <c r="AI61" s="43"/>
      <c r="AJ61" s="43"/>
      <c r="AK61" s="46">
        <f t="shared" si="8"/>
        <v>0</v>
      </c>
      <c r="AL61" s="46">
        <f t="shared" si="9"/>
        <v>0</v>
      </c>
      <c r="AM61" s="39"/>
      <c r="AN61" s="40"/>
      <c r="AO61" s="40"/>
      <c r="AP61" s="41"/>
    </row>
    <row r="62" spans="1:42" ht="14.1" customHeight="1">
      <c r="A62" s="42">
        <v>34</v>
      </c>
      <c r="B62" s="56"/>
      <c r="C62" s="43"/>
      <c r="D62" s="43"/>
      <c r="E62" s="43"/>
      <c r="F62" s="43"/>
      <c r="G62" s="43"/>
      <c r="H62" s="43"/>
      <c r="I62" s="22"/>
      <c r="J62" s="43"/>
      <c r="K62" s="43"/>
      <c r="L62" s="43"/>
      <c r="M62" s="43"/>
      <c r="N62" s="43"/>
      <c r="O62" s="43"/>
      <c r="P62" s="22"/>
      <c r="Q62" s="43"/>
      <c r="R62" s="43"/>
      <c r="S62" s="43"/>
      <c r="T62" s="43"/>
      <c r="U62" s="43"/>
      <c r="V62" s="43"/>
      <c r="W62" s="22"/>
      <c r="X62" s="43"/>
      <c r="Y62" s="43"/>
      <c r="Z62" s="43"/>
      <c r="AA62" s="43"/>
      <c r="AB62" s="98"/>
      <c r="AC62" s="43"/>
      <c r="AD62" s="22"/>
      <c r="AE62" s="43"/>
      <c r="AF62" s="43"/>
      <c r="AG62" s="98"/>
      <c r="AH62" s="43"/>
      <c r="AI62" s="43"/>
      <c r="AJ62" s="43"/>
      <c r="AK62" s="46">
        <f t="shared" si="8"/>
        <v>0</v>
      </c>
      <c r="AL62" s="46">
        <f t="shared" si="9"/>
        <v>0</v>
      </c>
      <c r="AM62" s="39"/>
      <c r="AN62" s="40"/>
      <c r="AO62" s="40"/>
      <c r="AP62" s="41"/>
    </row>
    <row r="63" spans="1:42" ht="14.1" customHeight="1">
      <c r="A63" s="42">
        <v>35</v>
      </c>
      <c r="B63" s="52"/>
      <c r="C63" s="43"/>
      <c r="D63" s="43"/>
      <c r="E63" s="43"/>
      <c r="F63" s="43"/>
      <c r="G63" s="43"/>
      <c r="H63" s="43"/>
      <c r="I63" s="22"/>
      <c r="J63" s="43"/>
      <c r="K63" s="43"/>
      <c r="L63" s="43"/>
      <c r="M63" s="43"/>
      <c r="N63" s="43"/>
      <c r="O63" s="43"/>
      <c r="P63" s="22"/>
      <c r="Q63" s="43"/>
      <c r="R63" s="43"/>
      <c r="S63" s="43"/>
      <c r="T63" s="43"/>
      <c r="U63" s="43"/>
      <c r="V63" s="43"/>
      <c r="W63" s="22"/>
      <c r="X63" s="43"/>
      <c r="Y63" s="43"/>
      <c r="Z63" s="43"/>
      <c r="AA63" s="43"/>
      <c r="AB63" s="98"/>
      <c r="AC63" s="43"/>
      <c r="AD63" s="22"/>
      <c r="AE63" s="43"/>
      <c r="AF63" s="43"/>
      <c r="AG63" s="98"/>
      <c r="AH63" s="43"/>
      <c r="AI63" s="43"/>
      <c r="AJ63" s="43"/>
      <c r="AK63" s="46">
        <f t="shared" si="8"/>
        <v>0</v>
      </c>
      <c r="AL63" s="46">
        <f t="shared" si="9"/>
        <v>0</v>
      </c>
      <c r="AM63" s="150"/>
      <c r="AN63" s="151"/>
      <c r="AO63" s="151"/>
      <c r="AP63" s="152"/>
    </row>
    <row r="64" spans="1:42" ht="14.1" customHeight="1" thickBot="1">
      <c r="A64" s="50">
        <v>36</v>
      </c>
      <c r="B64" s="57"/>
      <c r="C64" s="43"/>
      <c r="D64" s="43"/>
      <c r="E64" s="43"/>
      <c r="F64" s="43"/>
      <c r="G64" s="43"/>
      <c r="H64" s="43"/>
      <c r="I64" s="22"/>
      <c r="J64" s="43"/>
      <c r="K64" s="43"/>
      <c r="L64" s="43"/>
      <c r="M64" s="43"/>
      <c r="N64" s="43"/>
      <c r="O64" s="43"/>
      <c r="P64" s="22"/>
      <c r="Q64" s="43"/>
      <c r="R64" s="43"/>
      <c r="S64" s="43"/>
      <c r="T64" s="43"/>
      <c r="U64" s="43"/>
      <c r="V64" s="43"/>
      <c r="W64" s="22"/>
      <c r="X64" s="43"/>
      <c r="Y64" s="43"/>
      <c r="Z64" s="43"/>
      <c r="AA64" s="43"/>
      <c r="AB64" s="98"/>
      <c r="AC64" s="43"/>
      <c r="AD64" s="22"/>
      <c r="AE64" s="43"/>
      <c r="AF64" s="43"/>
      <c r="AG64" s="98"/>
      <c r="AH64" s="43"/>
      <c r="AI64" s="43"/>
      <c r="AJ64" s="43"/>
      <c r="AK64" s="46">
        <f t="shared" si="8"/>
        <v>0</v>
      </c>
      <c r="AL64" s="46">
        <f t="shared" si="9"/>
        <v>0</v>
      </c>
      <c r="AM64" s="150"/>
      <c r="AN64" s="151"/>
      <c r="AO64" s="151"/>
      <c r="AP64" s="152"/>
    </row>
    <row r="65" spans="1:42" ht="15.75" thickBot="1">
      <c r="A65" s="139" t="s">
        <v>35</v>
      </c>
      <c r="B65" s="140"/>
      <c r="C65" s="48">
        <f t="shared" ref="C65:E65" si="10">ROWS(C29:C64) - COUNTIF(C29:C64,"X")</f>
        <v>36</v>
      </c>
      <c r="D65" s="48">
        <f t="shared" si="10"/>
        <v>36</v>
      </c>
      <c r="E65" s="48">
        <f t="shared" si="10"/>
        <v>36</v>
      </c>
      <c r="F65" s="48">
        <f t="shared" ref="F65:H65" si="11">ROWS(F29:F64) - COUNTIF(F29:F64,"X")</f>
        <v>36</v>
      </c>
      <c r="G65" s="48">
        <f t="shared" si="11"/>
        <v>36</v>
      </c>
      <c r="H65" s="48">
        <f t="shared" si="11"/>
        <v>36</v>
      </c>
      <c r="I65" s="45">
        <f t="shared" ref="I65:AD65" si="12">COUNTIF(I29:I64,"X")</f>
        <v>0</v>
      </c>
      <c r="J65" s="48">
        <f t="shared" ref="J65:O65" si="13">ROWS(J29:J64) - COUNTIF(J29:J64,"X")</f>
        <v>36</v>
      </c>
      <c r="K65" s="48">
        <f t="shared" si="13"/>
        <v>36</v>
      </c>
      <c r="L65" s="48">
        <f t="shared" si="13"/>
        <v>36</v>
      </c>
      <c r="M65" s="48">
        <f t="shared" si="13"/>
        <v>36</v>
      </c>
      <c r="N65" s="48">
        <f t="shared" si="13"/>
        <v>36</v>
      </c>
      <c r="O65" s="48">
        <f t="shared" si="13"/>
        <v>36</v>
      </c>
      <c r="P65" s="45">
        <f t="shared" si="12"/>
        <v>0</v>
      </c>
      <c r="Q65" s="48">
        <f t="shared" ref="Q65:V65" si="14">ROWS(Q29:Q64) - COUNTIF(Q29:Q64,"X")</f>
        <v>36</v>
      </c>
      <c r="R65" s="48">
        <f t="shared" si="14"/>
        <v>36</v>
      </c>
      <c r="S65" s="48">
        <f t="shared" si="14"/>
        <v>36</v>
      </c>
      <c r="T65" s="48">
        <f t="shared" si="14"/>
        <v>36</v>
      </c>
      <c r="U65" s="48">
        <f t="shared" si="14"/>
        <v>36</v>
      </c>
      <c r="V65" s="48">
        <f t="shared" si="14"/>
        <v>36</v>
      </c>
      <c r="W65" s="45">
        <f t="shared" si="12"/>
        <v>0</v>
      </c>
      <c r="X65" s="48">
        <f t="shared" ref="X65:AH65" si="15">ROWS(X29:X64) - COUNTIF(X29:X64,"X")</f>
        <v>36</v>
      </c>
      <c r="Y65" s="48">
        <f t="shared" si="15"/>
        <v>36</v>
      </c>
      <c r="Z65" s="48">
        <f t="shared" si="15"/>
        <v>36</v>
      </c>
      <c r="AA65" s="48">
        <f t="shared" si="15"/>
        <v>36</v>
      </c>
      <c r="AB65" s="98"/>
      <c r="AC65" s="48">
        <f t="shared" si="15"/>
        <v>36</v>
      </c>
      <c r="AD65" s="45">
        <f t="shared" si="12"/>
        <v>0</v>
      </c>
      <c r="AE65" s="48">
        <f t="shared" si="15"/>
        <v>36</v>
      </c>
      <c r="AF65" s="48">
        <f t="shared" si="15"/>
        <v>36</v>
      </c>
      <c r="AG65" s="98"/>
      <c r="AH65" s="48">
        <f t="shared" si="15"/>
        <v>36</v>
      </c>
      <c r="AI65" s="48"/>
      <c r="AJ65" s="48"/>
      <c r="AK65" s="47">
        <f>SUM(AK29:AK64)</f>
        <v>0</v>
      </c>
      <c r="AL65" s="47">
        <f>SUM(AL29:AL64)</f>
        <v>0</v>
      </c>
      <c r="AM65" s="141">
        <f>SUM(C65:AJ65)</f>
        <v>936</v>
      </c>
      <c r="AN65" s="141"/>
      <c r="AO65" s="141"/>
      <c r="AP65" s="142"/>
    </row>
    <row r="66" spans="1:42" ht="15" customHeight="1" thickBot="1">
      <c r="A66" s="139" t="s">
        <v>36</v>
      </c>
      <c r="B66" s="140"/>
      <c r="C66" s="44">
        <f t="shared" ref="C66:E66" si="16">SUM(C28,C65)</f>
        <v>50</v>
      </c>
      <c r="D66" s="44">
        <f t="shared" si="16"/>
        <v>50</v>
      </c>
      <c r="E66" s="44">
        <f t="shared" si="16"/>
        <v>50</v>
      </c>
      <c r="F66" s="44">
        <f>SUM(F28,F65)</f>
        <v>49</v>
      </c>
      <c r="G66" s="44">
        <f>SUM(G28,G65)</f>
        <v>50</v>
      </c>
      <c r="H66" s="44">
        <f>SUM(H28,H65)</f>
        <v>50</v>
      </c>
      <c r="I66" s="21"/>
      <c r="J66" s="44">
        <f t="shared" ref="J66:O66" si="17">SUM(J28,J65)</f>
        <v>50</v>
      </c>
      <c r="K66" s="44">
        <f t="shared" si="17"/>
        <v>50</v>
      </c>
      <c r="L66" s="44">
        <f t="shared" si="17"/>
        <v>50</v>
      </c>
      <c r="M66" s="44">
        <f t="shared" si="17"/>
        <v>50</v>
      </c>
      <c r="N66" s="44">
        <f t="shared" si="17"/>
        <v>50</v>
      </c>
      <c r="O66" s="44">
        <f t="shared" si="17"/>
        <v>50</v>
      </c>
      <c r="P66" s="21"/>
      <c r="Q66" s="44">
        <f t="shared" ref="Q66:V66" si="18">SUM(Q28,Q65)</f>
        <v>50</v>
      </c>
      <c r="R66" s="44">
        <f t="shared" si="18"/>
        <v>50</v>
      </c>
      <c r="S66" s="44">
        <f t="shared" si="18"/>
        <v>50</v>
      </c>
      <c r="T66" s="44">
        <f t="shared" si="18"/>
        <v>50</v>
      </c>
      <c r="U66" s="44">
        <f t="shared" si="18"/>
        <v>50</v>
      </c>
      <c r="V66" s="44">
        <f t="shared" si="18"/>
        <v>50</v>
      </c>
      <c r="W66" s="21"/>
      <c r="X66" s="44">
        <f t="shared" ref="X66:AH66" si="19">SUM(X28,X65)</f>
        <v>50</v>
      </c>
      <c r="Y66" s="44">
        <f t="shared" si="19"/>
        <v>50</v>
      </c>
      <c r="Z66" s="44">
        <f t="shared" si="19"/>
        <v>50</v>
      </c>
      <c r="AA66" s="44">
        <f t="shared" si="19"/>
        <v>50</v>
      </c>
      <c r="AB66" s="99"/>
      <c r="AC66" s="44">
        <f t="shared" si="19"/>
        <v>50</v>
      </c>
      <c r="AD66" s="21"/>
      <c r="AE66" s="44">
        <f t="shared" si="19"/>
        <v>50</v>
      </c>
      <c r="AF66" s="44">
        <f t="shared" si="19"/>
        <v>50</v>
      </c>
      <c r="AG66" s="99"/>
      <c r="AH66" s="44">
        <f t="shared" si="19"/>
        <v>50</v>
      </c>
      <c r="AI66" s="44"/>
      <c r="AJ66" s="44"/>
      <c r="AK66" s="47">
        <f>SUM(AK28,AK65)</f>
        <v>1</v>
      </c>
      <c r="AL66" s="47">
        <f t="shared" ref="AL66" si="20">SUM(AL28,AL65)</f>
        <v>1</v>
      </c>
      <c r="AM66" s="141">
        <f>SUM(C66:AJ66)</f>
        <v>1299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92</v>
      </c>
      <c r="AL69" s="134">
        <v>20</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6">
    <mergeCell ref="AM36:AP36"/>
    <mergeCell ref="AM37:AP37"/>
    <mergeCell ref="AM38:AP38"/>
    <mergeCell ref="AM39:AP39"/>
    <mergeCell ref="AM40:AP40"/>
    <mergeCell ref="AM41:AP41"/>
    <mergeCell ref="N8:R8"/>
    <mergeCell ref="S8:AJ8"/>
    <mergeCell ref="AL8:AP8"/>
    <mergeCell ref="AK10:AL12"/>
    <mergeCell ref="A28:B28"/>
    <mergeCell ref="D4:M4"/>
    <mergeCell ref="D8:M8"/>
    <mergeCell ref="A10:A13"/>
    <mergeCell ref="B10:B11"/>
    <mergeCell ref="C10:AJ11"/>
    <mergeCell ref="D6:M6"/>
    <mergeCell ref="AM33:AP33"/>
    <mergeCell ref="AM34:AP34"/>
    <mergeCell ref="B71:B72"/>
    <mergeCell ref="A68:B68"/>
    <mergeCell ref="A65:B65"/>
    <mergeCell ref="A66:B66"/>
    <mergeCell ref="AL68:AM68"/>
    <mergeCell ref="AN68:AP68"/>
    <mergeCell ref="A69:R69"/>
    <mergeCell ref="AL69:AM69"/>
    <mergeCell ref="A70:R70"/>
    <mergeCell ref="AK70:AM70"/>
    <mergeCell ref="D71:L71"/>
    <mergeCell ref="M71:N72"/>
    <mergeCell ref="AK71:AM71"/>
    <mergeCell ref="D72:L72"/>
    <mergeCell ref="T68:AG68"/>
    <mergeCell ref="T69:AG70"/>
    <mergeCell ref="T71:AG72"/>
    <mergeCell ref="AK72:AM72"/>
    <mergeCell ref="T94:AG94"/>
    <mergeCell ref="T95:AG95"/>
    <mergeCell ref="T96:AG96"/>
    <mergeCell ref="T97:AG97"/>
    <mergeCell ref="AK86:AP86"/>
    <mergeCell ref="AK91:AP91"/>
    <mergeCell ref="AK92:AP92"/>
    <mergeCell ref="B76:B77"/>
    <mergeCell ref="B73:B74"/>
    <mergeCell ref="T78:AG81"/>
    <mergeCell ref="T86:AG86"/>
    <mergeCell ref="T87:AG89"/>
    <mergeCell ref="T90:AG90"/>
    <mergeCell ref="T91:AG91"/>
    <mergeCell ref="T93:AG93"/>
    <mergeCell ref="T83:AG85"/>
    <mergeCell ref="AK85:AP85"/>
    <mergeCell ref="D73:L73"/>
    <mergeCell ref="M73:N74"/>
    <mergeCell ref="T73:AG73"/>
    <mergeCell ref="AK73:AM73"/>
    <mergeCell ref="D74:L74"/>
    <mergeCell ref="T74:AG76"/>
    <mergeCell ref="AK74:AM74"/>
    <mergeCell ref="AM10:AP10"/>
    <mergeCell ref="AM11:AP11"/>
    <mergeCell ref="AM12:AP12"/>
    <mergeCell ref="AM13:AP13"/>
    <mergeCell ref="A2:AP2"/>
    <mergeCell ref="N4:R4"/>
    <mergeCell ref="S4:W4"/>
    <mergeCell ref="Z4:AB4"/>
    <mergeCell ref="AC4:AK4"/>
    <mergeCell ref="AL4:AM4"/>
    <mergeCell ref="AN4:AP4"/>
    <mergeCell ref="N6:R6"/>
    <mergeCell ref="S6:W6"/>
    <mergeCell ref="X6:AA6"/>
    <mergeCell ref="AB6:AE6"/>
    <mergeCell ref="AL6:AP6"/>
    <mergeCell ref="B12:B13"/>
    <mergeCell ref="AB14:AB66"/>
    <mergeCell ref="AG14:AG66"/>
    <mergeCell ref="AM23:AP23"/>
    <mergeCell ref="AM24:AP24"/>
    <mergeCell ref="AM25:AP25"/>
    <mergeCell ref="AM27:AP27"/>
    <mergeCell ref="AM28:AP28"/>
    <mergeCell ref="AM29:AP29"/>
    <mergeCell ref="AM30:AP30"/>
    <mergeCell ref="AM31:AP31"/>
    <mergeCell ref="AM32:AP32"/>
    <mergeCell ref="AM14:AP14"/>
    <mergeCell ref="AM15:AP15"/>
    <mergeCell ref="AM16:AP16"/>
    <mergeCell ref="AM17:AP17"/>
    <mergeCell ref="AM18:AP18"/>
    <mergeCell ref="AM19:AP19"/>
    <mergeCell ref="AM20:AP20"/>
    <mergeCell ref="AM21:AP21"/>
    <mergeCell ref="AM22:AP22"/>
    <mergeCell ref="AM42:AP42"/>
    <mergeCell ref="AM43:AP43"/>
    <mergeCell ref="AM44:AP44"/>
    <mergeCell ref="AM35:AP35"/>
    <mergeCell ref="AK78:AM78"/>
    <mergeCell ref="A79:R79"/>
    <mergeCell ref="AK79:AM79"/>
    <mergeCell ref="A80:R80"/>
    <mergeCell ref="AK80:AM80"/>
    <mergeCell ref="AK81:AM81"/>
    <mergeCell ref="T82:AG82"/>
    <mergeCell ref="AK82:AM82"/>
    <mergeCell ref="AM45:AP45"/>
    <mergeCell ref="AM46:AP46"/>
    <mergeCell ref="AM47:AP47"/>
    <mergeCell ref="AM48:AP48"/>
    <mergeCell ref="AM49:AP49"/>
    <mergeCell ref="AM63:AP63"/>
    <mergeCell ref="AM64:AP64"/>
    <mergeCell ref="AM65:AP65"/>
    <mergeCell ref="AM66:AP66"/>
    <mergeCell ref="AK75:AM75"/>
    <mergeCell ref="D76:L76"/>
    <mergeCell ref="M76:N77"/>
    <mergeCell ref="AK76:AM76"/>
    <mergeCell ref="D77:L77"/>
    <mergeCell ref="T77:AG77"/>
    <mergeCell ref="AK77:AP77"/>
  </mergeCells>
  <pageMargins left="0.12" right="0.12" top="0.35433070866141736" bottom="0.11811023622047245" header="0.31496062992125984" footer="0.11811023622047245"/>
  <pageSetup paperSize="9" scale="71" fitToHeight="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AY97"/>
  <sheetViews>
    <sheetView zoomScale="85" zoomScaleNormal="85" workbookViewId="0">
      <selection activeCell="AE14" sqref="AE14:AE66"/>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93</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v>2</v>
      </c>
      <c r="D12" s="87">
        <v>3</v>
      </c>
      <c r="E12" s="61">
        <v>4</v>
      </c>
      <c r="F12" s="61">
        <v>5</v>
      </c>
      <c r="G12" s="61">
        <v>6</v>
      </c>
      <c r="H12" s="61">
        <v>7</v>
      </c>
      <c r="I12" s="62"/>
      <c r="J12" s="61">
        <v>9</v>
      </c>
      <c r="K12" s="61">
        <v>10</v>
      </c>
      <c r="L12" s="61">
        <v>11</v>
      </c>
      <c r="M12" s="61">
        <v>12</v>
      </c>
      <c r="N12" s="61">
        <v>13</v>
      </c>
      <c r="O12" s="61">
        <v>14</v>
      </c>
      <c r="P12" s="63"/>
      <c r="Q12" s="61">
        <v>16</v>
      </c>
      <c r="R12" s="61">
        <v>17</v>
      </c>
      <c r="S12" s="61">
        <v>18</v>
      </c>
      <c r="T12" s="61">
        <v>19</v>
      </c>
      <c r="U12" s="61">
        <v>20</v>
      </c>
      <c r="V12" s="61">
        <v>21</v>
      </c>
      <c r="W12" s="63"/>
      <c r="X12" s="61">
        <v>23</v>
      </c>
      <c r="Y12" s="61">
        <v>24</v>
      </c>
      <c r="Z12" s="61">
        <v>25</v>
      </c>
      <c r="AA12" s="61">
        <v>26</v>
      </c>
      <c r="AB12" s="61">
        <v>27</v>
      </c>
      <c r="AC12" s="61">
        <v>28</v>
      </c>
      <c r="AD12" s="63"/>
      <c r="AE12" s="61">
        <v>30</v>
      </c>
      <c r="AF12" s="61"/>
      <c r="AG12" s="61"/>
      <c r="AH12" s="61"/>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85" t="s">
        <v>107</v>
      </c>
      <c r="G14" s="85" t="s">
        <v>86</v>
      </c>
      <c r="H14" s="43"/>
      <c r="I14" s="22"/>
      <c r="J14" s="43"/>
      <c r="K14" s="43"/>
      <c r="L14" s="43"/>
      <c r="M14" s="43"/>
      <c r="N14" s="43"/>
      <c r="O14" s="43"/>
      <c r="P14" s="22"/>
      <c r="Q14" s="43"/>
      <c r="R14" s="43"/>
      <c r="S14" s="43"/>
      <c r="T14" s="43"/>
      <c r="U14" s="43"/>
      <c r="V14" s="43"/>
      <c r="W14" s="22"/>
      <c r="X14" s="43"/>
      <c r="Y14" s="43"/>
      <c r="Z14" s="43"/>
      <c r="AA14" s="43"/>
      <c r="AB14" s="43"/>
      <c r="AC14" s="43"/>
      <c r="AD14" s="22"/>
      <c r="AE14" s="97" t="s">
        <v>116</v>
      </c>
      <c r="AF14" s="43"/>
      <c r="AG14" s="43"/>
      <c r="AH14" s="43"/>
      <c r="AI14" s="43"/>
      <c r="AJ14" s="43"/>
      <c r="AK14" s="46">
        <f t="shared" ref="AK14:AK27" si="0">COUNTIF(D14:AJ14,"X")</f>
        <v>1</v>
      </c>
      <c r="AL14" s="46">
        <f t="shared" ref="AL14:AL27" si="1">COUNTIF(D14:AJ14,"T")</f>
        <v>1</v>
      </c>
      <c r="AM14" s="153"/>
      <c r="AN14" s="154"/>
      <c r="AO14" s="154"/>
      <c r="AP14" s="155"/>
    </row>
    <row r="15" spans="1:51"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98"/>
      <c r="AF15" s="43"/>
      <c r="AG15" s="43"/>
      <c r="AH15" s="43"/>
      <c r="AI15" s="43"/>
      <c r="AJ15" s="43"/>
      <c r="AK15" s="46">
        <f t="shared" si="0"/>
        <v>0</v>
      </c>
      <c r="AL15" s="46">
        <f t="shared" si="1"/>
        <v>0</v>
      </c>
      <c r="AM15" s="150"/>
      <c r="AN15" s="151"/>
      <c r="AO15" s="151"/>
      <c r="AP15" s="152"/>
    </row>
    <row r="16" spans="1:51"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98"/>
      <c r="AF16" s="43"/>
      <c r="AG16" s="43"/>
      <c r="AH16" s="43"/>
      <c r="AI16" s="43"/>
      <c r="AJ16" s="43"/>
      <c r="AK16" s="46">
        <f t="shared" si="0"/>
        <v>0</v>
      </c>
      <c r="AL16" s="46">
        <f t="shared" si="1"/>
        <v>0</v>
      </c>
      <c r="AM16" s="150"/>
      <c r="AN16" s="151"/>
      <c r="AO16" s="151"/>
      <c r="AP16" s="152"/>
    </row>
    <row r="17" spans="1:42"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98"/>
      <c r="AF17" s="43"/>
      <c r="AG17" s="43"/>
      <c r="AH17" s="43"/>
      <c r="AI17" s="43"/>
      <c r="AJ17" s="43"/>
      <c r="AK17" s="46">
        <f t="shared" si="0"/>
        <v>0</v>
      </c>
      <c r="AL17" s="46">
        <f t="shared" si="1"/>
        <v>0</v>
      </c>
      <c r="AM17" s="150"/>
      <c r="AN17" s="151"/>
      <c r="AO17" s="151"/>
      <c r="AP17" s="152"/>
    </row>
    <row r="18" spans="1:42"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98"/>
      <c r="AF18" s="43"/>
      <c r="AG18" s="43"/>
      <c r="AH18" s="43"/>
      <c r="AI18" s="43"/>
      <c r="AJ18" s="43"/>
      <c r="AK18" s="46">
        <f t="shared" si="0"/>
        <v>0</v>
      </c>
      <c r="AL18" s="46">
        <f t="shared" si="1"/>
        <v>0</v>
      </c>
      <c r="AM18" s="150"/>
      <c r="AN18" s="151"/>
      <c r="AO18" s="151"/>
      <c r="AP18" s="152"/>
    </row>
    <row r="19" spans="1:42"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98"/>
      <c r="AF19" s="43"/>
      <c r="AG19" s="43"/>
      <c r="AH19" s="43"/>
      <c r="AI19" s="43"/>
      <c r="AJ19" s="43"/>
      <c r="AK19" s="46">
        <f t="shared" si="0"/>
        <v>0</v>
      </c>
      <c r="AL19" s="46">
        <f t="shared" si="1"/>
        <v>0</v>
      </c>
      <c r="AM19" s="150"/>
      <c r="AN19" s="151"/>
      <c r="AO19" s="151"/>
      <c r="AP19" s="152"/>
    </row>
    <row r="20" spans="1:42"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98"/>
      <c r="AF20" s="43"/>
      <c r="AG20" s="43"/>
      <c r="AH20" s="43"/>
      <c r="AI20" s="43"/>
      <c r="AJ20" s="43"/>
      <c r="AK20" s="46">
        <f t="shared" si="0"/>
        <v>0</v>
      </c>
      <c r="AL20" s="46">
        <f t="shared" si="1"/>
        <v>0</v>
      </c>
      <c r="AM20" s="150"/>
      <c r="AN20" s="151"/>
      <c r="AO20" s="151"/>
      <c r="AP20" s="152"/>
    </row>
    <row r="21" spans="1:42"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98"/>
      <c r="AF21" s="43"/>
      <c r="AG21" s="43"/>
      <c r="AH21" s="43"/>
      <c r="AI21" s="43"/>
      <c r="AJ21" s="43"/>
      <c r="AK21" s="46">
        <f t="shared" si="0"/>
        <v>0</v>
      </c>
      <c r="AL21" s="46">
        <f t="shared" si="1"/>
        <v>0</v>
      </c>
      <c r="AM21" s="150"/>
      <c r="AN21" s="151"/>
      <c r="AO21" s="151"/>
      <c r="AP21" s="152"/>
    </row>
    <row r="22" spans="1:42" ht="14.1" customHeight="1">
      <c r="A22" s="42">
        <v>9</v>
      </c>
      <c r="B22" s="52"/>
      <c r="C22" s="43"/>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98"/>
      <c r="AF22" s="43"/>
      <c r="AG22" s="43"/>
      <c r="AH22" s="43"/>
      <c r="AI22" s="43"/>
      <c r="AJ22" s="43"/>
      <c r="AK22" s="46">
        <f t="shared" si="0"/>
        <v>0</v>
      </c>
      <c r="AL22" s="46">
        <f t="shared" si="1"/>
        <v>0</v>
      </c>
      <c r="AM22" s="150"/>
      <c r="AN22" s="151"/>
      <c r="AO22" s="151"/>
      <c r="AP22" s="152"/>
    </row>
    <row r="23" spans="1:42" ht="14.1" customHeight="1">
      <c r="A23" s="42">
        <v>10</v>
      </c>
      <c r="B23" s="53"/>
      <c r="C23" s="43"/>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98"/>
      <c r="AF23" s="43"/>
      <c r="AG23" s="43"/>
      <c r="AH23" s="43"/>
      <c r="AI23" s="43"/>
      <c r="AJ23" s="43"/>
      <c r="AK23" s="46">
        <f t="shared" si="0"/>
        <v>0</v>
      </c>
      <c r="AL23" s="46">
        <f t="shared" si="1"/>
        <v>0</v>
      </c>
      <c r="AM23" s="150"/>
      <c r="AN23" s="151"/>
      <c r="AO23" s="151"/>
      <c r="AP23" s="152"/>
    </row>
    <row r="24" spans="1:42" ht="14.1" customHeight="1">
      <c r="A24" s="42">
        <v>11</v>
      </c>
      <c r="B24" s="53"/>
      <c r="C24" s="43"/>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98"/>
      <c r="AF24" s="43"/>
      <c r="AG24" s="43"/>
      <c r="AH24" s="43"/>
      <c r="AI24" s="43"/>
      <c r="AJ24" s="43"/>
      <c r="AK24" s="46">
        <f t="shared" si="0"/>
        <v>0</v>
      </c>
      <c r="AL24" s="46">
        <f t="shared" si="1"/>
        <v>0</v>
      </c>
      <c r="AM24" s="150"/>
      <c r="AN24" s="151"/>
      <c r="AO24" s="151"/>
      <c r="AP24" s="152"/>
    </row>
    <row r="25" spans="1:42" ht="14.1" customHeight="1">
      <c r="A25" s="42">
        <v>12</v>
      </c>
      <c r="B25" s="52"/>
      <c r="C25" s="43"/>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98"/>
      <c r="AF25" s="43"/>
      <c r="AG25" s="43"/>
      <c r="AH25" s="43"/>
      <c r="AI25" s="43"/>
      <c r="AJ25" s="43"/>
      <c r="AK25" s="46">
        <f t="shared" si="0"/>
        <v>0</v>
      </c>
      <c r="AL25" s="46">
        <f t="shared" si="1"/>
        <v>0</v>
      </c>
      <c r="AM25" s="150"/>
      <c r="AN25" s="151"/>
      <c r="AO25" s="151"/>
      <c r="AP25" s="152"/>
    </row>
    <row r="26" spans="1:42" ht="14.1" customHeight="1">
      <c r="A26" s="42">
        <v>13</v>
      </c>
      <c r="B26" s="54"/>
      <c r="C26" s="43"/>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98"/>
      <c r="AF26" s="43"/>
      <c r="AG26" s="43"/>
      <c r="AH26" s="43"/>
      <c r="AI26" s="43"/>
      <c r="AJ26" s="43"/>
      <c r="AK26" s="46">
        <f t="shared" si="0"/>
        <v>0</v>
      </c>
      <c r="AL26" s="46">
        <f t="shared" si="1"/>
        <v>0</v>
      </c>
      <c r="AM26" s="39"/>
      <c r="AN26" s="40"/>
      <c r="AO26" s="40"/>
      <c r="AP26" s="41"/>
    </row>
    <row r="27" spans="1:42" ht="14.1" customHeight="1" thickBot="1">
      <c r="A27" s="50">
        <v>14</v>
      </c>
      <c r="B27" s="55"/>
      <c r="C27" s="43"/>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98"/>
      <c r="AF27" s="43"/>
      <c r="AG27" s="43"/>
      <c r="AH27" s="43"/>
      <c r="AI27" s="43"/>
      <c r="AJ27" s="43"/>
      <c r="AK27" s="46">
        <f t="shared" si="0"/>
        <v>0</v>
      </c>
      <c r="AL27" s="46">
        <f t="shared" si="1"/>
        <v>0</v>
      </c>
      <c r="AM27" s="150"/>
      <c r="AN27" s="151"/>
      <c r="AO27" s="151"/>
      <c r="AP27" s="152"/>
    </row>
    <row r="28" spans="1:42" ht="15.75" thickBot="1">
      <c r="A28" s="156" t="s">
        <v>34</v>
      </c>
      <c r="B28" s="157"/>
      <c r="C28" s="48">
        <f t="shared" ref="C28:H28" si="2">ROWS(C14:C27) - COUNTIF(C14:C27,"X")</f>
        <v>14</v>
      </c>
      <c r="D28" s="48">
        <f t="shared" si="2"/>
        <v>14</v>
      </c>
      <c r="E28" s="48">
        <f t="shared" si="2"/>
        <v>14</v>
      </c>
      <c r="F28" s="48">
        <f t="shared" si="2"/>
        <v>13</v>
      </c>
      <c r="G28" s="48">
        <f t="shared" si="2"/>
        <v>14</v>
      </c>
      <c r="H28" s="48">
        <f t="shared" si="2"/>
        <v>14</v>
      </c>
      <c r="I28" s="45"/>
      <c r="J28" s="48">
        <f t="shared" ref="J28:O28" si="3">ROWS(J14:J27) - COUNTIF(J14:J27,"X")</f>
        <v>14</v>
      </c>
      <c r="K28" s="48">
        <f t="shared" si="3"/>
        <v>14</v>
      </c>
      <c r="L28" s="48">
        <f t="shared" si="3"/>
        <v>14</v>
      </c>
      <c r="M28" s="48">
        <f t="shared" si="3"/>
        <v>14</v>
      </c>
      <c r="N28" s="48">
        <f t="shared" si="3"/>
        <v>14</v>
      </c>
      <c r="O28" s="48">
        <f t="shared" si="3"/>
        <v>14</v>
      </c>
      <c r="P28" s="45"/>
      <c r="Q28" s="48">
        <f t="shared" ref="Q28:V28" si="4">ROWS(Q14:Q27) - COUNTIF(Q14:Q27,"X")</f>
        <v>14</v>
      </c>
      <c r="R28" s="48">
        <f t="shared" si="4"/>
        <v>14</v>
      </c>
      <c r="S28" s="48">
        <f t="shared" si="4"/>
        <v>14</v>
      </c>
      <c r="T28" s="48">
        <f t="shared" si="4"/>
        <v>14</v>
      </c>
      <c r="U28" s="48">
        <f t="shared" si="4"/>
        <v>14</v>
      </c>
      <c r="V28" s="48">
        <f t="shared" si="4"/>
        <v>14</v>
      </c>
      <c r="W28" s="45"/>
      <c r="X28" s="48">
        <f t="shared" ref="X28:AC28" si="5">ROWS(X14:X27) - COUNTIF(X14:X27,"X")</f>
        <v>14</v>
      </c>
      <c r="Y28" s="48">
        <f t="shared" si="5"/>
        <v>14</v>
      </c>
      <c r="Z28" s="48">
        <f t="shared" si="5"/>
        <v>14</v>
      </c>
      <c r="AA28" s="48">
        <f t="shared" si="5"/>
        <v>14</v>
      </c>
      <c r="AB28" s="48">
        <f t="shared" si="5"/>
        <v>14</v>
      </c>
      <c r="AC28" s="48">
        <f t="shared" si="5"/>
        <v>14</v>
      </c>
      <c r="AD28" s="45"/>
      <c r="AE28" s="98"/>
      <c r="AF28" s="48"/>
      <c r="AG28" s="48"/>
      <c r="AH28" s="48"/>
      <c r="AI28" s="48"/>
      <c r="AJ28" s="48"/>
      <c r="AK28" s="47">
        <f>SUM(AK14:AK27)</f>
        <v>1</v>
      </c>
      <c r="AL28" s="47">
        <f>SUM(AL14:AL27)</f>
        <v>1</v>
      </c>
      <c r="AM28" s="141">
        <f>SUM(C28:AJ28)</f>
        <v>335</v>
      </c>
      <c r="AN28" s="141"/>
      <c r="AO28" s="141"/>
      <c r="AP28" s="142"/>
    </row>
    <row r="29" spans="1:42" ht="14.1" customHeight="1">
      <c r="A29" s="49">
        <v>1</v>
      </c>
      <c r="B29" s="51"/>
      <c r="C29" s="43"/>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98"/>
      <c r="AF29" s="43"/>
      <c r="AG29" s="43"/>
      <c r="AH29" s="43"/>
      <c r="AI29" s="43"/>
      <c r="AJ29" s="43"/>
      <c r="AK29" s="46">
        <f t="shared" ref="AK29:AK64" si="6">COUNTIF(D29:AJ29,"X")</f>
        <v>0</v>
      </c>
      <c r="AL29" s="46">
        <f t="shared" ref="AL29:AL64" si="7">COUNTIF(D29:AJ29,"T")</f>
        <v>0</v>
      </c>
      <c r="AM29" s="153"/>
      <c r="AN29" s="154"/>
      <c r="AO29" s="154"/>
      <c r="AP29" s="155"/>
    </row>
    <row r="30" spans="1:42" ht="14.1" customHeight="1">
      <c r="A30" s="42">
        <v>2</v>
      </c>
      <c r="B30" s="52"/>
      <c r="C30" s="43"/>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98"/>
      <c r="AF30" s="43"/>
      <c r="AG30" s="43"/>
      <c r="AH30" s="43"/>
      <c r="AI30" s="43"/>
      <c r="AJ30" s="43"/>
      <c r="AK30" s="46">
        <f t="shared" si="6"/>
        <v>0</v>
      </c>
      <c r="AL30" s="46">
        <f t="shared" si="7"/>
        <v>0</v>
      </c>
      <c r="AM30" s="150"/>
      <c r="AN30" s="151"/>
      <c r="AO30" s="151"/>
      <c r="AP30" s="152"/>
    </row>
    <row r="31" spans="1:42" ht="14.1" customHeight="1">
      <c r="A31" s="42">
        <v>3</v>
      </c>
      <c r="B31" s="52"/>
      <c r="C31" s="43"/>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98"/>
      <c r="AF31" s="43"/>
      <c r="AG31" s="43"/>
      <c r="AH31" s="43"/>
      <c r="AI31" s="43"/>
      <c r="AJ31" s="43"/>
      <c r="AK31" s="46">
        <f t="shared" si="6"/>
        <v>0</v>
      </c>
      <c r="AL31" s="46">
        <f t="shared" si="7"/>
        <v>0</v>
      </c>
      <c r="AM31" s="150"/>
      <c r="AN31" s="151"/>
      <c r="AO31" s="151"/>
      <c r="AP31" s="152"/>
    </row>
    <row r="32" spans="1:42" ht="14.1" customHeight="1">
      <c r="A32" s="42">
        <v>4</v>
      </c>
      <c r="B32" s="52"/>
      <c r="C32" s="43"/>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98"/>
      <c r="AF32" s="43"/>
      <c r="AG32" s="43"/>
      <c r="AH32" s="43"/>
      <c r="AI32" s="43"/>
      <c r="AJ32" s="43"/>
      <c r="AK32" s="46">
        <f t="shared" si="6"/>
        <v>0</v>
      </c>
      <c r="AL32" s="46">
        <f t="shared" si="7"/>
        <v>0</v>
      </c>
      <c r="AM32" s="150"/>
      <c r="AN32" s="151"/>
      <c r="AO32" s="151"/>
      <c r="AP32" s="152"/>
    </row>
    <row r="33" spans="1:42" ht="14.1" customHeight="1">
      <c r="A33" s="42">
        <v>5</v>
      </c>
      <c r="B33" s="52"/>
      <c r="C33" s="43"/>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98"/>
      <c r="AF33" s="43"/>
      <c r="AG33" s="43"/>
      <c r="AH33" s="43"/>
      <c r="AI33" s="43"/>
      <c r="AJ33" s="43"/>
      <c r="AK33" s="46">
        <f t="shared" si="6"/>
        <v>0</v>
      </c>
      <c r="AL33" s="46">
        <f t="shared" si="7"/>
        <v>0</v>
      </c>
      <c r="AM33" s="150"/>
      <c r="AN33" s="151"/>
      <c r="AO33" s="151"/>
      <c r="AP33" s="152"/>
    </row>
    <row r="34" spans="1:42" ht="14.1" customHeight="1">
      <c r="A34" s="42">
        <v>6</v>
      </c>
      <c r="B34" s="52"/>
      <c r="C34" s="43"/>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98"/>
      <c r="AF34" s="43"/>
      <c r="AG34" s="43"/>
      <c r="AH34" s="43"/>
      <c r="AI34" s="43"/>
      <c r="AJ34" s="43"/>
      <c r="AK34" s="46">
        <f t="shared" si="6"/>
        <v>0</v>
      </c>
      <c r="AL34" s="46">
        <f t="shared" si="7"/>
        <v>0</v>
      </c>
      <c r="AM34" s="150"/>
      <c r="AN34" s="151"/>
      <c r="AO34" s="151"/>
      <c r="AP34" s="152"/>
    </row>
    <row r="35" spans="1:42" ht="14.1" customHeight="1">
      <c r="A35" s="42">
        <v>7</v>
      </c>
      <c r="B35" s="52"/>
      <c r="C35" s="43"/>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98"/>
      <c r="AF35" s="43"/>
      <c r="AG35" s="43"/>
      <c r="AH35" s="43"/>
      <c r="AI35" s="43"/>
      <c r="AJ35" s="43"/>
      <c r="AK35" s="46">
        <f t="shared" si="6"/>
        <v>0</v>
      </c>
      <c r="AL35" s="46">
        <f t="shared" si="7"/>
        <v>0</v>
      </c>
      <c r="AM35" s="150"/>
      <c r="AN35" s="151"/>
      <c r="AO35" s="151"/>
      <c r="AP35" s="152"/>
    </row>
    <row r="36" spans="1:42" ht="14.1" customHeight="1">
      <c r="A36" s="42">
        <v>8</v>
      </c>
      <c r="B36" s="52"/>
      <c r="C36" s="43"/>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98"/>
      <c r="AF36" s="43"/>
      <c r="AG36" s="43"/>
      <c r="AH36" s="43"/>
      <c r="AI36" s="43"/>
      <c r="AJ36" s="43"/>
      <c r="AK36" s="46">
        <f t="shared" si="6"/>
        <v>0</v>
      </c>
      <c r="AL36" s="46">
        <f t="shared" si="7"/>
        <v>0</v>
      </c>
      <c r="AM36" s="150"/>
      <c r="AN36" s="151"/>
      <c r="AO36" s="151"/>
      <c r="AP36" s="152"/>
    </row>
    <row r="37" spans="1:42" ht="14.1" customHeight="1">
      <c r="A37" s="42">
        <v>9</v>
      </c>
      <c r="B37" s="52"/>
      <c r="C37" s="43"/>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98"/>
      <c r="AF37" s="43"/>
      <c r="AG37" s="43"/>
      <c r="AH37" s="43"/>
      <c r="AI37" s="43"/>
      <c r="AJ37" s="43"/>
      <c r="AK37" s="46">
        <f t="shared" si="6"/>
        <v>0</v>
      </c>
      <c r="AL37" s="46">
        <f t="shared" si="7"/>
        <v>0</v>
      </c>
      <c r="AM37" s="150"/>
      <c r="AN37" s="151"/>
      <c r="AO37" s="151"/>
      <c r="AP37" s="152"/>
    </row>
    <row r="38" spans="1:42" ht="14.1" customHeight="1">
      <c r="A38" s="42">
        <v>10</v>
      </c>
      <c r="B38" s="52"/>
      <c r="C38" s="43"/>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98"/>
      <c r="AF38" s="43"/>
      <c r="AG38" s="43"/>
      <c r="AH38" s="43"/>
      <c r="AI38" s="43"/>
      <c r="AJ38" s="43"/>
      <c r="AK38" s="46">
        <f t="shared" si="6"/>
        <v>0</v>
      </c>
      <c r="AL38" s="46">
        <f t="shared" si="7"/>
        <v>0</v>
      </c>
      <c r="AM38" s="150"/>
      <c r="AN38" s="151"/>
      <c r="AO38" s="151"/>
      <c r="AP38" s="152"/>
    </row>
    <row r="39" spans="1:42" ht="14.1" customHeight="1">
      <c r="A39" s="42">
        <v>11</v>
      </c>
      <c r="B39" s="52"/>
      <c r="C39" s="43"/>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98"/>
      <c r="AF39" s="43"/>
      <c r="AG39" s="43"/>
      <c r="AH39" s="43"/>
      <c r="AI39" s="43"/>
      <c r="AJ39" s="43"/>
      <c r="AK39" s="46">
        <f t="shared" si="6"/>
        <v>0</v>
      </c>
      <c r="AL39" s="46">
        <f t="shared" si="7"/>
        <v>0</v>
      </c>
      <c r="AM39" s="150"/>
      <c r="AN39" s="151"/>
      <c r="AO39" s="151"/>
      <c r="AP39" s="152"/>
    </row>
    <row r="40" spans="1:42" ht="14.1" customHeight="1">
      <c r="A40" s="42">
        <v>12</v>
      </c>
      <c r="B40" s="52"/>
      <c r="C40" s="43"/>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98"/>
      <c r="AF40" s="43"/>
      <c r="AG40" s="43"/>
      <c r="AH40" s="43"/>
      <c r="AI40" s="43"/>
      <c r="AJ40" s="43"/>
      <c r="AK40" s="46">
        <f t="shared" si="6"/>
        <v>0</v>
      </c>
      <c r="AL40" s="46">
        <f t="shared" si="7"/>
        <v>0</v>
      </c>
      <c r="AM40" s="150"/>
      <c r="AN40" s="151"/>
      <c r="AO40" s="151"/>
      <c r="AP40" s="152"/>
    </row>
    <row r="41" spans="1:42" ht="14.1" customHeight="1">
      <c r="A41" s="42">
        <v>13</v>
      </c>
      <c r="B41" s="52"/>
      <c r="C41" s="43"/>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98"/>
      <c r="AF41" s="43"/>
      <c r="AG41" s="43"/>
      <c r="AH41" s="43"/>
      <c r="AI41" s="43"/>
      <c r="AJ41" s="43"/>
      <c r="AK41" s="46">
        <f t="shared" si="6"/>
        <v>0</v>
      </c>
      <c r="AL41" s="46">
        <f t="shared" si="7"/>
        <v>0</v>
      </c>
      <c r="AM41" s="150"/>
      <c r="AN41" s="151"/>
      <c r="AO41" s="151"/>
      <c r="AP41" s="152"/>
    </row>
    <row r="42" spans="1:42" ht="14.1" customHeight="1">
      <c r="A42" s="42">
        <v>14</v>
      </c>
      <c r="B42" s="52"/>
      <c r="C42" s="43"/>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98"/>
      <c r="AF42" s="43"/>
      <c r="AG42" s="43"/>
      <c r="AH42" s="43"/>
      <c r="AI42" s="43"/>
      <c r="AJ42" s="43"/>
      <c r="AK42" s="46">
        <f t="shared" si="6"/>
        <v>0</v>
      </c>
      <c r="AL42" s="46">
        <f t="shared" si="7"/>
        <v>0</v>
      </c>
      <c r="AM42" s="150"/>
      <c r="AN42" s="151"/>
      <c r="AO42" s="151"/>
      <c r="AP42" s="152"/>
    </row>
    <row r="43" spans="1:42" ht="14.1" customHeight="1">
      <c r="A43" s="42">
        <v>15</v>
      </c>
      <c r="B43" s="52"/>
      <c r="C43" s="43"/>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98"/>
      <c r="AF43" s="43"/>
      <c r="AG43" s="43"/>
      <c r="AH43" s="43"/>
      <c r="AI43" s="43"/>
      <c r="AJ43" s="43"/>
      <c r="AK43" s="46">
        <f t="shared" si="6"/>
        <v>0</v>
      </c>
      <c r="AL43" s="46">
        <f t="shared" si="7"/>
        <v>0</v>
      </c>
      <c r="AM43" s="150"/>
      <c r="AN43" s="151"/>
      <c r="AO43" s="151"/>
      <c r="AP43" s="152"/>
    </row>
    <row r="44" spans="1:42" ht="14.1" customHeight="1">
      <c r="A44" s="42">
        <v>16</v>
      </c>
      <c r="B44" s="52"/>
      <c r="C44" s="43"/>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98"/>
      <c r="AF44" s="43"/>
      <c r="AG44" s="43"/>
      <c r="AH44" s="43"/>
      <c r="AI44" s="43"/>
      <c r="AJ44" s="43"/>
      <c r="AK44" s="46">
        <f t="shared" si="6"/>
        <v>0</v>
      </c>
      <c r="AL44" s="46">
        <f t="shared" si="7"/>
        <v>0</v>
      </c>
      <c r="AM44" s="150"/>
      <c r="AN44" s="151"/>
      <c r="AO44" s="151"/>
      <c r="AP44" s="152"/>
    </row>
    <row r="45" spans="1:42" ht="14.1" customHeight="1">
      <c r="A45" s="42">
        <v>17</v>
      </c>
      <c r="B45" s="52"/>
      <c r="C45" s="43"/>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98"/>
      <c r="AF45" s="43"/>
      <c r="AG45" s="43"/>
      <c r="AH45" s="43"/>
      <c r="AI45" s="43"/>
      <c r="AJ45" s="43"/>
      <c r="AK45" s="46">
        <f t="shared" si="6"/>
        <v>0</v>
      </c>
      <c r="AL45" s="46">
        <f t="shared" si="7"/>
        <v>0</v>
      </c>
      <c r="AM45" s="150"/>
      <c r="AN45" s="151"/>
      <c r="AO45" s="151"/>
      <c r="AP45" s="152"/>
    </row>
    <row r="46" spans="1:42" ht="14.1" customHeight="1">
      <c r="A46" s="42">
        <v>18</v>
      </c>
      <c r="B46" s="52"/>
      <c r="C46" s="43"/>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98"/>
      <c r="AF46" s="43"/>
      <c r="AG46" s="43"/>
      <c r="AH46" s="43"/>
      <c r="AI46" s="43"/>
      <c r="AJ46" s="43"/>
      <c r="AK46" s="46">
        <f t="shared" si="6"/>
        <v>0</v>
      </c>
      <c r="AL46" s="46">
        <f t="shared" si="7"/>
        <v>0</v>
      </c>
      <c r="AM46" s="150"/>
      <c r="AN46" s="151"/>
      <c r="AO46" s="151"/>
      <c r="AP46" s="152"/>
    </row>
    <row r="47" spans="1:42" ht="14.1" customHeight="1">
      <c r="A47" s="42">
        <v>19</v>
      </c>
      <c r="B47" s="56"/>
      <c r="C47" s="43"/>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98"/>
      <c r="AF47" s="43"/>
      <c r="AG47" s="43"/>
      <c r="AH47" s="43"/>
      <c r="AI47" s="43"/>
      <c r="AJ47" s="43"/>
      <c r="AK47" s="46">
        <f t="shared" si="6"/>
        <v>0</v>
      </c>
      <c r="AL47" s="46">
        <f t="shared" si="7"/>
        <v>0</v>
      </c>
      <c r="AM47" s="150"/>
      <c r="AN47" s="151"/>
      <c r="AO47" s="151"/>
      <c r="AP47" s="152"/>
    </row>
    <row r="48" spans="1:42" ht="14.1" customHeight="1">
      <c r="A48" s="42">
        <v>20</v>
      </c>
      <c r="B48" s="52"/>
      <c r="C48" s="43"/>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98"/>
      <c r="AF48" s="43"/>
      <c r="AG48" s="43"/>
      <c r="AH48" s="43"/>
      <c r="AI48" s="43"/>
      <c r="AJ48" s="43"/>
      <c r="AK48" s="46">
        <f t="shared" si="6"/>
        <v>0</v>
      </c>
      <c r="AL48" s="46">
        <f t="shared" si="7"/>
        <v>0</v>
      </c>
      <c r="AM48" s="150"/>
      <c r="AN48" s="151"/>
      <c r="AO48" s="151"/>
      <c r="AP48" s="152"/>
    </row>
    <row r="49" spans="1:42" ht="14.1" customHeight="1">
      <c r="A49" s="42">
        <v>21</v>
      </c>
      <c r="B49" s="52"/>
      <c r="C49" s="43"/>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98"/>
      <c r="AF49" s="43"/>
      <c r="AG49" s="43"/>
      <c r="AH49" s="43"/>
      <c r="AI49" s="43"/>
      <c r="AJ49" s="43"/>
      <c r="AK49" s="46">
        <f t="shared" si="6"/>
        <v>0</v>
      </c>
      <c r="AL49" s="46">
        <f t="shared" si="7"/>
        <v>0</v>
      </c>
      <c r="AM49" s="150"/>
      <c r="AN49" s="151"/>
      <c r="AO49" s="151"/>
      <c r="AP49" s="152"/>
    </row>
    <row r="50" spans="1:42" ht="14.1" customHeight="1">
      <c r="A50" s="42">
        <v>22</v>
      </c>
      <c r="B50" s="52"/>
      <c r="C50" s="43"/>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98"/>
      <c r="AF50" s="43"/>
      <c r="AG50" s="43"/>
      <c r="AH50" s="43"/>
      <c r="AI50" s="43"/>
      <c r="AJ50" s="43"/>
      <c r="AK50" s="46">
        <f t="shared" si="6"/>
        <v>0</v>
      </c>
      <c r="AL50" s="46">
        <f t="shared" si="7"/>
        <v>0</v>
      </c>
      <c r="AM50" s="39"/>
      <c r="AN50" s="40"/>
      <c r="AO50" s="40"/>
      <c r="AP50" s="41"/>
    </row>
    <row r="51" spans="1:42" ht="14.1" customHeight="1">
      <c r="A51" s="42">
        <v>23</v>
      </c>
      <c r="B51" s="52"/>
      <c r="C51" s="43"/>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98"/>
      <c r="AF51" s="43"/>
      <c r="AG51" s="43"/>
      <c r="AH51" s="43"/>
      <c r="AI51" s="43"/>
      <c r="AJ51" s="43"/>
      <c r="AK51" s="46">
        <f t="shared" si="6"/>
        <v>0</v>
      </c>
      <c r="AL51" s="46">
        <f t="shared" si="7"/>
        <v>0</v>
      </c>
      <c r="AM51" s="39"/>
      <c r="AN51" s="40"/>
      <c r="AO51" s="40"/>
      <c r="AP51" s="41"/>
    </row>
    <row r="52" spans="1:42" ht="14.1" customHeight="1">
      <c r="A52" s="42">
        <v>24</v>
      </c>
      <c r="B52" s="52"/>
      <c r="C52" s="43"/>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98"/>
      <c r="AF52" s="43"/>
      <c r="AG52" s="43"/>
      <c r="AH52" s="43"/>
      <c r="AI52" s="43"/>
      <c r="AJ52" s="43"/>
      <c r="AK52" s="46">
        <f t="shared" si="6"/>
        <v>0</v>
      </c>
      <c r="AL52" s="46">
        <f t="shared" si="7"/>
        <v>0</v>
      </c>
      <c r="AM52" s="39"/>
      <c r="AN52" s="40"/>
      <c r="AO52" s="40"/>
      <c r="AP52" s="41"/>
    </row>
    <row r="53" spans="1:42" ht="14.1" customHeight="1">
      <c r="A53" s="42">
        <v>25</v>
      </c>
      <c r="B53" s="52"/>
      <c r="C53" s="43"/>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98"/>
      <c r="AF53" s="43"/>
      <c r="AG53" s="43"/>
      <c r="AH53" s="43"/>
      <c r="AI53" s="43"/>
      <c r="AJ53" s="43"/>
      <c r="AK53" s="46">
        <f t="shared" si="6"/>
        <v>0</v>
      </c>
      <c r="AL53" s="46">
        <f t="shared" si="7"/>
        <v>0</v>
      </c>
      <c r="AM53" s="39"/>
      <c r="AN53" s="40"/>
      <c r="AO53" s="40"/>
      <c r="AP53" s="41"/>
    </row>
    <row r="54" spans="1:42" ht="14.1" customHeight="1">
      <c r="A54" s="42">
        <v>26</v>
      </c>
      <c r="B54" s="52"/>
      <c r="C54" s="43"/>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98"/>
      <c r="AF54" s="43"/>
      <c r="AG54" s="43"/>
      <c r="AH54" s="43"/>
      <c r="AI54" s="43"/>
      <c r="AJ54" s="43"/>
      <c r="AK54" s="46">
        <f t="shared" si="6"/>
        <v>0</v>
      </c>
      <c r="AL54" s="46">
        <f t="shared" si="7"/>
        <v>0</v>
      </c>
      <c r="AM54" s="39"/>
      <c r="AN54" s="40"/>
      <c r="AO54" s="40"/>
      <c r="AP54" s="41"/>
    </row>
    <row r="55" spans="1:42" ht="14.1" customHeight="1">
      <c r="A55" s="42">
        <v>27</v>
      </c>
      <c r="B55" s="52"/>
      <c r="C55" s="43"/>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98"/>
      <c r="AF55" s="43"/>
      <c r="AG55" s="43"/>
      <c r="AH55" s="43"/>
      <c r="AI55" s="43"/>
      <c r="AJ55" s="43"/>
      <c r="AK55" s="46">
        <f t="shared" si="6"/>
        <v>0</v>
      </c>
      <c r="AL55" s="46">
        <f t="shared" si="7"/>
        <v>0</v>
      </c>
      <c r="AM55" s="39"/>
      <c r="AN55" s="40"/>
      <c r="AO55" s="40"/>
      <c r="AP55" s="41"/>
    </row>
    <row r="56" spans="1:42" ht="14.1" customHeight="1">
      <c r="A56" s="42">
        <v>28</v>
      </c>
      <c r="B56" s="52"/>
      <c r="C56" s="43"/>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98"/>
      <c r="AF56" s="43"/>
      <c r="AG56" s="43"/>
      <c r="AH56" s="43"/>
      <c r="AI56" s="43"/>
      <c r="AJ56" s="43"/>
      <c r="AK56" s="46">
        <f t="shared" si="6"/>
        <v>0</v>
      </c>
      <c r="AL56" s="46">
        <f t="shared" si="7"/>
        <v>0</v>
      </c>
      <c r="AM56" s="39"/>
      <c r="AN56" s="40"/>
      <c r="AO56" s="40"/>
      <c r="AP56" s="41"/>
    </row>
    <row r="57" spans="1:42" ht="14.1" customHeight="1">
      <c r="A57" s="42">
        <v>29</v>
      </c>
      <c r="B57" s="52"/>
      <c r="C57" s="43"/>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98"/>
      <c r="AF57" s="43"/>
      <c r="AG57" s="43"/>
      <c r="AH57" s="43"/>
      <c r="AI57" s="43"/>
      <c r="AJ57" s="43"/>
      <c r="AK57" s="46">
        <f t="shared" si="6"/>
        <v>0</v>
      </c>
      <c r="AL57" s="46">
        <f t="shared" si="7"/>
        <v>0</v>
      </c>
      <c r="AM57" s="39"/>
      <c r="AN57" s="40"/>
      <c r="AO57" s="40"/>
      <c r="AP57" s="41"/>
    </row>
    <row r="58" spans="1:42" ht="14.1" customHeight="1">
      <c r="A58" s="42">
        <v>30</v>
      </c>
      <c r="B58" s="52"/>
      <c r="C58" s="43"/>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98"/>
      <c r="AF58" s="43"/>
      <c r="AG58" s="43"/>
      <c r="AH58" s="43"/>
      <c r="AI58" s="43"/>
      <c r="AJ58" s="43"/>
      <c r="AK58" s="46">
        <f t="shared" si="6"/>
        <v>0</v>
      </c>
      <c r="AL58" s="46">
        <f t="shared" si="7"/>
        <v>0</v>
      </c>
      <c r="AM58" s="39"/>
      <c r="AN58" s="40"/>
      <c r="AO58" s="40"/>
      <c r="AP58" s="41"/>
    </row>
    <row r="59" spans="1:42" ht="14.1" customHeight="1">
      <c r="A59" s="42">
        <v>31</v>
      </c>
      <c r="B59" s="52"/>
      <c r="C59" s="43"/>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98"/>
      <c r="AF59" s="43"/>
      <c r="AG59" s="43"/>
      <c r="AH59" s="43"/>
      <c r="AI59" s="43"/>
      <c r="AJ59" s="43"/>
      <c r="AK59" s="46">
        <f t="shared" si="6"/>
        <v>0</v>
      </c>
      <c r="AL59" s="46">
        <f t="shared" si="7"/>
        <v>0</v>
      </c>
      <c r="AM59" s="39"/>
      <c r="AN59" s="40"/>
      <c r="AO59" s="40"/>
      <c r="AP59" s="41"/>
    </row>
    <row r="60" spans="1:42" ht="14.1" customHeight="1">
      <c r="A60" s="42">
        <v>32</v>
      </c>
      <c r="B60" s="52"/>
      <c r="C60" s="43"/>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98"/>
      <c r="AF60" s="43"/>
      <c r="AG60" s="43"/>
      <c r="AH60" s="43"/>
      <c r="AI60" s="43"/>
      <c r="AJ60" s="43"/>
      <c r="AK60" s="46">
        <f t="shared" si="6"/>
        <v>0</v>
      </c>
      <c r="AL60" s="46">
        <f t="shared" si="7"/>
        <v>0</v>
      </c>
      <c r="AM60" s="39"/>
      <c r="AN60" s="40"/>
      <c r="AO60" s="40"/>
      <c r="AP60" s="41"/>
    </row>
    <row r="61" spans="1:42" ht="14.1" customHeight="1">
      <c r="A61" s="42">
        <v>33</v>
      </c>
      <c r="B61" s="52"/>
      <c r="C61" s="43"/>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98"/>
      <c r="AF61" s="43"/>
      <c r="AG61" s="43"/>
      <c r="AH61" s="43"/>
      <c r="AI61" s="43"/>
      <c r="AJ61" s="43"/>
      <c r="AK61" s="46">
        <f t="shared" si="6"/>
        <v>0</v>
      </c>
      <c r="AL61" s="46">
        <f t="shared" si="7"/>
        <v>0</v>
      </c>
      <c r="AM61" s="39"/>
      <c r="AN61" s="40"/>
      <c r="AO61" s="40"/>
      <c r="AP61" s="41"/>
    </row>
    <row r="62" spans="1:42" ht="14.1" customHeight="1">
      <c r="A62" s="42">
        <v>34</v>
      </c>
      <c r="B62" s="56"/>
      <c r="C62" s="43"/>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98"/>
      <c r="AF62" s="43"/>
      <c r="AG62" s="43"/>
      <c r="AH62" s="43"/>
      <c r="AI62" s="43"/>
      <c r="AJ62" s="43"/>
      <c r="AK62" s="46">
        <f t="shared" si="6"/>
        <v>0</v>
      </c>
      <c r="AL62" s="46">
        <f t="shared" si="7"/>
        <v>0</v>
      </c>
      <c r="AM62" s="39"/>
      <c r="AN62" s="40"/>
      <c r="AO62" s="40"/>
      <c r="AP62" s="41"/>
    </row>
    <row r="63" spans="1:42" ht="14.1" customHeight="1">
      <c r="A63" s="42">
        <v>35</v>
      </c>
      <c r="B63" s="52"/>
      <c r="C63" s="43"/>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98"/>
      <c r="AF63" s="43"/>
      <c r="AG63" s="43"/>
      <c r="AH63" s="43"/>
      <c r="AI63" s="43"/>
      <c r="AJ63" s="43"/>
      <c r="AK63" s="46">
        <f t="shared" si="6"/>
        <v>0</v>
      </c>
      <c r="AL63" s="46">
        <f t="shared" si="7"/>
        <v>0</v>
      </c>
      <c r="AM63" s="150"/>
      <c r="AN63" s="151"/>
      <c r="AO63" s="151"/>
      <c r="AP63" s="152"/>
    </row>
    <row r="64" spans="1:42" ht="14.1" customHeight="1" thickBot="1">
      <c r="A64" s="50">
        <v>36</v>
      </c>
      <c r="B64" s="57"/>
      <c r="C64" s="43"/>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98"/>
      <c r="AF64" s="43"/>
      <c r="AG64" s="43"/>
      <c r="AH64" s="43"/>
      <c r="AI64" s="43"/>
      <c r="AJ64" s="43"/>
      <c r="AK64" s="46">
        <f t="shared" si="6"/>
        <v>0</v>
      </c>
      <c r="AL64" s="46">
        <f t="shared" si="7"/>
        <v>0</v>
      </c>
      <c r="AM64" s="150"/>
      <c r="AN64" s="151"/>
      <c r="AO64" s="151"/>
      <c r="AP64" s="152"/>
    </row>
    <row r="65" spans="1:42" ht="15.75" thickBot="1">
      <c r="A65" s="139" t="s">
        <v>35</v>
      </c>
      <c r="B65" s="140"/>
      <c r="C65" s="48">
        <f t="shared" ref="C65:H65" si="8">ROWS(C29:C64) - COUNTIF(C29:C64,"X")</f>
        <v>36</v>
      </c>
      <c r="D65" s="48">
        <f t="shared" si="8"/>
        <v>36</v>
      </c>
      <c r="E65" s="48">
        <f t="shared" si="8"/>
        <v>36</v>
      </c>
      <c r="F65" s="48">
        <f t="shared" si="8"/>
        <v>36</v>
      </c>
      <c r="G65" s="48">
        <f t="shared" si="8"/>
        <v>36</v>
      </c>
      <c r="H65" s="48">
        <f t="shared" si="8"/>
        <v>36</v>
      </c>
      <c r="I65" s="45">
        <f t="shared" ref="I65:AD65" si="9">COUNTIF(I29:I64,"X")</f>
        <v>0</v>
      </c>
      <c r="J65" s="48">
        <f t="shared" ref="J65:O65" si="10">ROWS(J29:J64) - COUNTIF(J29:J64,"X")</f>
        <v>36</v>
      </c>
      <c r="K65" s="48">
        <f t="shared" si="10"/>
        <v>36</v>
      </c>
      <c r="L65" s="48">
        <f t="shared" si="10"/>
        <v>36</v>
      </c>
      <c r="M65" s="48">
        <f t="shared" si="10"/>
        <v>36</v>
      </c>
      <c r="N65" s="48">
        <f t="shared" si="10"/>
        <v>36</v>
      </c>
      <c r="O65" s="48">
        <f t="shared" si="10"/>
        <v>36</v>
      </c>
      <c r="P65" s="45">
        <f t="shared" si="9"/>
        <v>0</v>
      </c>
      <c r="Q65" s="48">
        <f t="shared" ref="Q65:V65" si="11">ROWS(Q29:Q64) - COUNTIF(Q29:Q64,"X")</f>
        <v>36</v>
      </c>
      <c r="R65" s="48">
        <f t="shared" si="11"/>
        <v>36</v>
      </c>
      <c r="S65" s="48">
        <f t="shared" si="11"/>
        <v>36</v>
      </c>
      <c r="T65" s="48">
        <f t="shared" si="11"/>
        <v>36</v>
      </c>
      <c r="U65" s="48">
        <f t="shared" si="11"/>
        <v>36</v>
      </c>
      <c r="V65" s="48">
        <f t="shared" si="11"/>
        <v>36</v>
      </c>
      <c r="W65" s="45">
        <f t="shared" si="9"/>
        <v>0</v>
      </c>
      <c r="X65" s="48">
        <f t="shared" ref="X65:AC65" si="12">ROWS(X29:X64) - COUNTIF(X29:X64,"X")</f>
        <v>36</v>
      </c>
      <c r="Y65" s="48">
        <f t="shared" si="12"/>
        <v>36</v>
      </c>
      <c r="Z65" s="48">
        <f t="shared" si="12"/>
        <v>36</v>
      </c>
      <c r="AA65" s="48">
        <f t="shared" si="12"/>
        <v>36</v>
      </c>
      <c r="AB65" s="48">
        <f t="shared" si="12"/>
        <v>36</v>
      </c>
      <c r="AC65" s="48">
        <f t="shared" si="12"/>
        <v>36</v>
      </c>
      <c r="AD65" s="45">
        <f t="shared" si="9"/>
        <v>0</v>
      </c>
      <c r="AE65" s="98"/>
      <c r="AF65" s="48"/>
      <c r="AG65" s="48"/>
      <c r="AH65" s="48"/>
      <c r="AI65" s="48"/>
      <c r="AJ65" s="48"/>
      <c r="AK65" s="47">
        <f>SUM(AK29:AK64)</f>
        <v>0</v>
      </c>
      <c r="AL65" s="47">
        <f>SUM(AL29:AL64)</f>
        <v>0</v>
      </c>
      <c r="AM65" s="141">
        <f>SUM(C65:AJ65)</f>
        <v>864</v>
      </c>
      <c r="AN65" s="141"/>
      <c r="AO65" s="141"/>
      <c r="AP65" s="142"/>
    </row>
    <row r="66" spans="1:42" ht="15" customHeight="1" thickBot="1">
      <c r="A66" s="139" t="s">
        <v>36</v>
      </c>
      <c r="B66" s="140"/>
      <c r="C66" s="44">
        <f t="shared" ref="C66:E66" si="13">SUM(C28,C65)</f>
        <v>50</v>
      </c>
      <c r="D66" s="44">
        <f t="shared" si="13"/>
        <v>50</v>
      </c>
      <c r="E66" s="44">
        <f t="shared" si="13"/>
        <v>50</v>
      </c>
      <c r="F66" s="44">
        <f>SUM(F28,F65)</f>
        <v>49</v>
      </c>
      <c r="G66" s="44">
        <f>SUM(G28,G65)</f>
        <v>50</v>
      </c>
      <c r="H66" s="44">
        <f>SUM(H28,H65)</f>
        <v>50</v>
      </c>
      <c r="I66" s="21"/>
      <c r="J66" s="44">
        <f t="shared" ref="J66:O66" si="14">SUM(J28,J65)</f>
        <v>50</v>
      </c>
      <c r="K66" s="44">
        <f t="shared" si="14"/>
        <v>50</v>
      </c>
      <c r="L66" s="44">
        <f t="shared" si="14"/>
        <v>50</v>
      </c>
      <c r="M66" s="44">
        <f t="shared" si="14"/>
        <v>50</v>
      </c>
      <c r="N66" s="44">
        <f t="shared" si="14"/>
        <v>50</v>
      </c>
      <c r="O66" s="44">
        <f t="shared" si="14"/>
        <v>50</v>
      </c>
      <c r="P66" s="21"/>
      <c r="Q66" s="44">
        <f t="shared" ref="Q66:V66" si="15">SUM(Q28,Q65)</f>
        <v>50</v>
      </c>
      <c r="R66" s="44">
        <f t="shared" si="15"/>
        <v>50</v>
      </c>
      <c r="S66" s="44">
        <f t="shared" si="15"/>
        <v>50</v>
      </c>
      <c r="T66" s="44">
        <f t="shared" si="15"/>
        <v>50</v>
      </c>
      <c r="U66" s="44">
        <f t="shared" si="15"/>
        <v>50</v>
      </c>
      <c r="V66" s="44">
        <f t="shared" si="15"/>
        <v>50</v>
      </c>
      <c r="W66" s="21"/>
      <c r="X66" s="44">
        <f t="shared" ref="X66:AC66" si="16">SUM(X28,X65)</f>
        <v>50</v>
      </c>
      <c r="Y66" s="44">
        <f t="shared" si="16"/>
        <v>50</v>
      </c>
      <c r="Z66" s="44">
        <f t="shared" si="16"/>
        <v>50</v>
      </c>
      <c r="AA66" s="44">
        <f t="shared" si="16"/>
        <v>50</v>
      </c>
      <c r="AB66" s="44">
        <f t="shared" si="16"/>
        <v>50</v>
      </c>
      <c r="AC66" s="44">
        <f t="shared" si="16"/>
        <v>50</v>
      </c>
      <c r="AD66" s="21"/>
      <c r="AE66" s="99"/>
      <c r="AF66" s="44"/>
      <c r="AG66" s="44"/>
      <c r="AH66" s="44"/>
      <c r="AI66" s="44"/>
      <c r="AJ66" s="44"/>
      <c r="AK66" s="47">
        <f>SUM(AK28,AK65)</f>
        <v>1</v>
      </c>
      <c r="AL66" s="47">
        <f t="shared" ref="AL66" si="17">SUM(AL28,AL65)</f>
        <v>1</v>
      </c>
      <c r="AM66" s="141">
        <f>SUM(C66:AJ66)</f>
        <v>1199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93</v>
      </c>
      <c r="AL69" s="134">
        <v>24</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5">
    <mergeCell ref="B12:B13"/>
    <mergeCell ref="A10:A13"/>
    <mergeCell ref="B10:B11"/>
    <mergeCell ref="N6:R6"/>
    <mergeCell ref="S6:W6"/>
    <mergeCell ref="X6:AA6"/>
    <mergeCell ref="AB6:AE6"/>
    <mergeCell ref="A28:B28"/>
    <mergeCell ref="AM32:AP32"/>
    <mergeCell ref="AM33:AP33"/>
    <mergeCell ref="AM34:AP34"/>
    <mergeCell ref="AM35:AP35"/>
    <mergeCell ref="AM36:AP36"/>
    <mergeCell ref="AM37:AP37"/>
    <mergeCell ref="AM38:AP38"/>
    <mergeCell ref="N4:R4"/>
    <mergeCell ref="S4:W4"/>
    <mergeCell ref="Z4:AB4"/>
    <mergeCell ref="C10:AJ11"/>
    <mergeCell ref="AK10:AL12"/>
    <mergeCell ref="AM10:AP10"/>
    <mergeCell ref="AM11:AP11"/>
    <mergeCell ref="AM12:AP12"/>
    <mergeCell ref="AM13:AP13"/>
    <mergeCell ref="AM28:AP28"/>
    <mergeCell ref="AM29:AP29"/>
    <mergeCell ref="AM30:AP30"/>
    <mergeCell ref="AM31:AP31"/>
    <mergeCell ref="A68:B68"/>
    <mergeCell ref="A69:R69"/>
    <mergeCell ref="A65:B65"/>
    <mergeCell ref="A66:B66"/>
    <mergeCell ref="AK70:AM70"/>
    <mergeCell ref="D71:L71"/>
    <mergeCell ref="AK71:AM71"/>
    <mergeCell ref="D72:L72"/>
    <mergeCell ref="AK72:AM72"/>
    <mergeCell ref="A70:R70"/>
    <mergeCell ref="AE14:AE66"/>
    <mergeCell ref="AM14:AP14"/>
    <mergeCell ref="AM15:AP15"/>
    <mergeCell ref="AM16:AP16"/>
    <mergeCell ref="AM17:AP17"/>
    <mergeCell ref="AM18:AP18"/>
    <mergeCell ref="AM19:AP19"/>
    <mergeCell ref="AM20:AP20"/>
    <mergeCell ref="AM21:AP21"/>
    <mergeCell ref="AM22:AP22"/>
    <mergeCell ref="AM23:AP23"/>
    <mergeCell ref="AM24:AP24"/>
    <mergeCell ref="AM25:AP25"/>
    <mergeCell ref="AM27:AP27"/>
    <mergeCell ref="A79:R79"/>
    <mergeCell ref="A80:R80"/>
    <mergeCell ref="T78:AG81"/>
    <mergeCell ref="M76:N77"/>
    <mergeCell ref="B76:B77"/>
    <mergeCell ref="B73:B74"/>
    <mergeCell ref="M73:N74"/>
    <mergeCell ref="B71:B72"/>
    <mergeCell ref="M71:N72"/>
    <mergeCell ref="D73:L73"/>
    <mergeCell ref="T94:AG94"/>
    <mergeCell ref="T95:AG95"/>
    <mergeCell ref="T96:AG96"/>
    <mergeCell ref="T97:AG97"/>
    <mergeCell ref="T68:AG68"/>
    <mergeCell ref="T69:AG70"/>
    <mergeCell ref="T71:AG72"/>
    <mergeCell ref="T73:AG73"/>
    <mergeCell ref="T74:AG76"/>
    <mergeCell ref="T77:AG77"/>
    <mergeCell ref="T90:AG90"/>
    <mergeCell ref="T91:AG91"/>
    <mergeCell ref="T93:AG93"/>
    <mergeCell ref="T82:AG82"/>
    <mergeCell ref="T83:AG85"/>
    <mergeCell ref="T86:AG86"/>
    <mergeCell ref="T87:AG89"/>
    <mergeCell ref="A2:AP2"/>
    <mergeCell ref="D4:M4"/>
    <mergeCell ref="AC4:AK4"/>
    <mergeCell ref="AL4:AM4"/>
    <mergeCell ref="AN4:AP4"/>
    <mergeCell ref="D6:M6"/>
    <mergeCell ref="AL6:AP6"/>
    <mergeCell ref="D8:M8"/>
    <mergeCell ref="N8:R8"/>
    <mergeCell ref="S8:AJ8"/>
    <mergeCell ref="AL8:AP8"/>
    <mergeCell ref="AM39:AP39"/>
    <mergeCell ref="AM40:AP40"/>
    <mergeCell ref="AM41:AP41"/>
    <mergeCell ref="AM42:AP42"/>
    <mergeCell ref="AM43:AP43"/>
    <mergeCell ref="AM44:AP44"/>
    <mergeCell ref="AM45:AP45"/>
    <mergeCell ref="AM46:AP46"/>
    <mergeCell ref="AM47:AP47"/>
    <mergeCell ref="D74:L74"/>
    <mergeCell ref="AK74:AM74"/>
    <mergeCell ref="AK75:AM75"/>
    <mergeCell ref="D76:L76"/>
    <mergeCell ref="AK76:AM76"/>
    <mergeCell ref="D77:L77"/>
    <mergeCell ref="AK77:AP77"/>
    <mergeCell ref="AK78:AM78"/>
    <mergeCell ref="AM48:AP48"/>
    <mergeCell ref="AM49:AP49"/>
    <mergeCell ref="AM63:AP63"/>
    <mergeCell ref="AM64:AP64"/>
    <mergeCell ref="AM65:AP65"/>
    <mergeCell ref="AM66:AP66"/>
    <mergeCell ref="AL68:AM68"/>
    <mergeCell ref="AN68:AP68"/>
    <mergeCell ref="AL69:AM69"/>
    <mergeCell ref="AK79:AM79"/>
    <mergeCell ref="AK80:AM80"/>
    <mergeCell ref="AK81:AM81"/>
    <mergeCell ref="AK82:AM82"/>
    <mergeCell ref="AK85:AP85"/>
    <mergeCell ref="AK86:AP86"/>
    <mergeCell ref="AK91:AP91"/>
    <mergeCell ref="AK92:AP92"/>
    <mergeCell ref="AK73:AM73"/>
  </mergeCells>
  <pageMargins left="0.12" right="0.12" top="0.47" bottom="0.12" header="0.3" footer="0.12"/>
  <pageSetup paperSize="9" scale="74" fitToHeight="0"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AY97"/>
  <sheetViews>
    <sheetView zoomScale="85" zoomScaleNormal="85" workbookViewId="0">
      <selection activeCell="N30" sqref="N30"/>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94</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v>4</v>
      </c>
      <c r="D12" s="87">
        <v>5</v>
      </c>
      <c r="E12" s="61">
        <v>6</v>
      </c>
      <c r="F12" s="61">
        <v>7</v>
      </c>
      <c r="G12" s="61">
        <v>8</v>
      </c>
      <c r="H12" s="61">
        <v>9</v>
      </c>
      <c r="I12" s="62"/>
      <c r="J12" s="61">
        <v>11</v>
      </c>
      <c r="K12" s="61">
        <v>12</v>
      </c>
      <c r="L12" s="61">
        <v>13</v>
      </c>
      <c r="M12" s="61">
        <v>14</v>
      </c>
      <c r="N12" s="61">
        <v>15</v>
      </c>
      <c r="O12" s="61">
        <v>16</v>
      </c>
      <c r="P12" s="63"/>
      <c r="Q12" s="61">
        <v>18</v>
      </c>
      <c r="R12" s="61">
        <v>19</v>
      </c>
      <c r="S12" s="61">
        <v>20</v>
      </c>
      <c r="T12" s="61">
        <v>21</v>
      </c>
      <c r="U12" s="61">
        <v>22</v>
      </c>
      <c r="V12" s="61">
        <v>23</v>
      </c>
      <c r="W12" s="63"/>
      <c r="X12" s="61">
        <v>25</v>
      </c>
      <c r="Y12" s="61">
        <v>26</v>
      </c>
      <c r="Z12" s="61">
        <v>27</v>
      </c>
      <c r="AA12" s="61">
        <v>28</v>
      </c>
      <c r="AB12" s="61">
        <v>29</v>
      </c>
      <c r="AC12" s="61">
        <v>30</v>
      </c>
      <c r="AD12" s="63"/>
      <c r="AE12" s="61"/>
      <c r="AF12" s="61"/>
      <c r="AG12" s="61"/>
      <c r="AH12" s="61"/>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85" t="s">
        <v>107</v>
      </c>
      <c r="G14" s="85" t="s">
        <v>86</v>
      </c>
      <c r="H14" s="43"/>
      <c r="I14" s="22"/>
      <c r="J14" s="43"/>
      <c r="K14" s="43"/>
      <c r="L14" s="43"/>
      <c r="M14" s="43"/>
      <c r="N14" s="43"/>
      <c r="O14" s="43"/>
      <c r="P14" s="22"/>
      <c r="Q14" s="43"/>
      <c r="R14" s="43"/>
      <c r="S14" s="43"/>
      <c r="T14" s="43"/>
      <c r="U14" s="43"/>
      <c r="V14" s="43"/>
      <c r="W14" s="22"/>
      <c r="X14" s="43"/>
      <c r="Y14" s="43"/>
      <c r="Z14" s="43"/>
      <c r="AA14" s="43"/>
      <c r="AB14" s="43"/>
      <c r="AC14" s="43"/>
      <c r="AD14" s="22"/>
      <c r="AE14" s="43"/>
      <c r="AF14" s="43"/>
      <c r="AG14" s="43"/>
      <c r="AH14" s="43"/>
      <c r="AI14" s="43"/>
      <c r="AJ14" s="43"/>
      <c r="AK14" s="46">
        <f t="shared" ref="AK14:AK27" si="0">COUNTIF(D14:AJ14,"X")</f>
        <v>1</v>
      </c>
      <c r="AL14" s="46">
        <f t="shared" ref="AL14:AL27" si="1">COUNTIF(D14:AJ14,"T")</f>
        <v>1</v>
      </c>
      <c r="AM14" s="153"/>
      <c r="AN14" s="154"/>
      <c r="AO14" s="154"/>
      <c r="AP14" s="155"/>
    </row>
    <row r="15" spans="1:51"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43"/>
      <c r="AF15" s="43"/>
      <c r="AG15" s="43"/>
      <c r="AH15" s="43"/>
      <c r="AI15" s="43"/>
      <c r="AJ15" s="43"/>
      <c r="AK15" s="46">
        <f t="shared" si="0"/>
        <v>0</v>
      </c>
      <c r="AL15" s="46">
        <f t="shared" si="1"/>
        <v>0</v>
      </c>
      <c r="AM15" s="150"/>
      <c r="AN15" s="151"/>
      <c r="AO15" s="151"/>
      <c r="AP15" s="152"/>
    </row>
    <row r="16" spans="1:51"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43"/>
      <c r="AF16" s="43"/>
      <c r="AG16" s="43"/>
      <c r="AH16" s="43"/>
      <c r="AI16" s="43"/>
      <c r="AJ16" s="43"/>
      <c r="AK16" s="46">
        <f t="shared" si="0"/>
        <v>0</v>
      </c>
      <c r="AL16" s="46">
        <f t="shared" si="1"/>
        <v>0</v>
      </c>
      <c r="AM16" s="150"/>
      <c r="AN16" s="151"/>
      <c r="AO16" s="151"/>
      <c r="AP16" s="152"/>
    </row>
    <row r="17" spans="1:42"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43"/>
      <c r="AF17" s="43"/>
      <c r="AG17" s="43"/>
      <c r="AH17" s="43"/>
      <c r="AI17" s="43"/>
      <c r="AJ17" s="43"/>
      <c r="AK17" s="46">
        <f t="shared" si="0"/>
        <v>0</v>
      </c>
      <c r="AL17" s="46">
        <f t="shared" si="1"/>
        <v>0</v>
      </c>
      <c r="AM17" s="150"/>
      <c r="AN17" s="151"/>
      <c r="AO17" s="151"/>
      <c r="AP17" s="152"/>
    </row>
    <row r="18" spans="1:42"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43"/>
      <c r="AF18" s="43"/>
      <c r="AG18" s="43"/>
      <c r="AH18" s="43"/>
      <c r="AI18" s="43"/>
      <c r="AJ18" s="43"/>
      <c r="AK18" s="46">
        <f t="shared" si="0"/>
        <v>0</v>
      </c>
      <c r="AL18" s="46">
        <f t="shared" si="1"/>
        <v>0</v>
      </c>
      <c r="AM18" s="150"/>
      <c r="AN18" s="151"/>
      <c r="AO18" s="151"/>
      <c r="AP18" s="152"/>
    </row>
    <row r="19" spans="1:42"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43"/>
      <c r="AF19" s="43"/>
      <c r="AG19" s="43"/>
      <c r="AH19" s="43"/>
      <c r="AI19" s="43"/>
      <c r="AJ19" s="43"/>
      <c r="AK19" s="46">
        <f t="shared" si="0"/>
        <v>0</v>
      </c>
      <c r="AL19" s="46">
        <f t="shared" si="1"/>
        <v>0</v>
      </c>
      <c r="AM19" s="150"/>
      <c r="AN19" s="151"/>
      <c r="AO19" s="151"/>
      <c r="AP19" s="152"/>
    </row>
    <row r="20" spans="1:42"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43"/>
      <c r="AF20" s="43"/>
      <c r="AG20" s="43"/>
      <c r="AH20" s="43"/>
      <c r="AI20" s="43"/>
      <c r="AJ20" s="43"/>
      <c r="AK20" s="46">
        <f t="shared" si="0"/>
        <v>0</v>
      </c>
      <c r="AL20" s="46">
        <f t="shared" si="1"/>
        <v>0</v>
      </c>
      <c r="AM20" s="150"/>
      <c r="AN20" s="151"/>
      <c r="AO20" s="151"/>
      <c r="AP20" s="152"/>
    </row>
    <row r="21" spans="1:42"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43"/>
      <c r="AF21" s="43"/>
      <c r="AG21" s="43"/>
      <c r="AH21" s="43"/>
      <c r="AI21" s="43"/>
      <c r="AJ21" s="43"/>
      <c r="AK21" s="46">
        <f t="shared" si="0"/>
        <v>0</v>
      </c>
      <c r="AL21" s="46">
        <f t="shared" si="1"/>
        <v>0</v>
      </c>
      <c r="AM21" s="150"/>
      <c r="AN21" s="151"/>
      <c r="AO21" s="151"/>
      <c r="AP21" s="152"/>
    </row>
    <row r="22" spans="1:42" ht="14.1" customHeight="1">
      <c r="A22" s="42">
        <v>9</v>
      </c>
      <c r="B22" s="52"/>
      <c r="C22" s="43"/>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43"/>
      <c r="AF22" s="43"/>
      <c r="AG22" s="43"/>
      <c r="AH22" s="43"/>
      <c r="AI22" s="43"/>
      <c r="AJ22" s="43"/>
      <c r="AK22" s="46">
        <f t="shared" si="0"/>
        <v>0</v>
      </c>
      <c r="AL22" s="46">
        <f t="shared" si="1"/>
        <v>0</v>
      </c>
      <c r="AM22" s="150"/>
      <c r="AN22" s="151"/>
      <c r="AO22" s="151"/>
      <c r="AP22" s="152"/>
    </row>
    <row r="23" spans="1:42" ht="14.1" customHeight="1">
      <c r="A23" s="42">
        <v>10</v>
      </c>
      <c r="B23" s="53"/>
      <c r="C23" s="43"/>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43"/>
      <c r="AF23" s="43"/>
      <c r="AG23" s="43"/>
      <c r="AH23" s="43"/>
      <c r="AI23" s="43"/>
      <c r="AJ23" s="43"/>
      <c r="AK23" s="46">
        <f t="shared" si="0"/>
        <v>0</v>
      </c>
      <c r="AL23" s="46">
        <f t="shared" si="1"/>
        <v>0</v>
      </c>
      <c r="AM23" s="150"/>
      <c r="AN23" s="151"/>
      <c r="AO23" s="151"/>
      <c r="AP23" s="152"/>
    </row>
    <row r="24" spans="1:42" ht="14.1" customHeight="1">
      <c r="A24" s="42">
        <v>11</v>
      </c>
      <c r="B24" s="53"/>
      <c r="C24" s="43"/>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43"/>
      <c r="AF24" s="43"/>
      <c r="AG24" s="43"/>
      <c r="AH24" s="43"/>
      <c r="AI24" s="43"/>
      <c r="AJ24" s="43"/>
      <c r="AK24" s="46">
        <f t="shared" si="0"/>
        <v>0</v>
      </c>
      <c r="AL24" s="46">
        <f t="shared" si="1"/>
        <v>0</v>
      </c>
      <c r="AM24" s="150"/>
      <c r="AN24" s="151"/>
      <c r="AO24" s="151"/>
      <c r="AP24" s="152"/>
    </row>
    <row r="25" spans="1:42" ht="14.1" customHeight="1">
      <c r="A25" s="42">
        <v>12</v>
      </c>
      <c r="B25" s="52"/>
      <c r="C25" s="43"/>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43"/>
      <c r="AF25" s="43"/>
      <c r="AG25" s="43"/>
      <c r="AH25" s="43"/>
      <c r="AI25" s="43"/>
      <c r="AJ25" s="43"/>
      <c r="AK25" s="46">
        <f t="shared" si="0"/>
        <v>0</v>
      </c>
      <c r="AL25" s="46">
        <f t="shared" si="1"/>
        <v>0</v>
      </c>
      <c r="AM25" s="150"/>
      <c r="AN25" s="151"/>
      <c r="AO25" s="151"/>
      <c r="AP25" s="152"/>
    </row>
    <row r="26" spans="1:42" ht="14.1" customHeight="1">
      <c r="A26" s="42">
        <v>13</v>
      </c>
      <c r="B26" s="54"/>
      <c r="C26" s="43"/>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43"/>
      <c r="AF26" s="43"/>
      <c r="AG26" s="43"/>
      <c r="AH26" s="43"/>
      <c r="AI26" s="43"/>
      <c r="AJ26" s="43"/>
      <c r="AK26" s="46">
        <f t="shared" si="0"/>
        <v>0</v>
      </c>
      <c r="AL26" s="46">
        <f t="shared" si="1"/>
        <v>0</v>
      </c>
      <c r="AM26" s="39"/>
      <c r="AN26" s="40"/>
      <c r="AO26" s="40"/>
      <c r="AP26" s="41"/>
    </row>
    <row r="27" spans="1:42" ht="14.1" customHeight="1" thickBot="1">
      <c r="A27" s="50">
        <v>14</v>
      </c>
      <c r="B27" s="55"/>
      <c r="C27" s="43"/>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43"/>
      <c r="AF27" s="43"/>
      <c r="AG27" s="43"/>
      <c r="AH27" s="43"/>
      <c r="AI27" s="43"/>
      <c r="AJ27" s="43"/>
      <c r="AK27" s="46">
        <f t="shared" si="0"/>
        <v>0</v>
      </c>
      <c r="AL27" s="46">
        <f t="shared" si="1"/>
        <v>0</v>
      </c>
      <c r="AM27" s="150"/>
      <c r="AN27" s="151"/>
      <c r="AO27" s="151"/>
      <c r="AP27" s="152"/>
    </row>
    <row r="28" spans="1:42" ht="15.75" thickBot="1">
      <c r="A28" s="156" t="s">
        <v>34</v>
      </c>
      <c r="B28" s="157"/>
      <c r="C28" s="48">
        <f t="shared" ref="C28:H28" si="2">ROWS(C14:C27) - COUNTIF(C14:C27,"X")</f>
        <v>14</v>
      </c>
      <c r="D28" s="48">
        <f t="shared" si="2"/>
        <v>14</v>
      </c>
      <c r="E28" s="48">
        <f t="shared" si="2"/>
        <v>14</v>
      </c>
      <c r="F28" s="48">
        <f t="shared" si="2"/>
        <v>13</v>
      </c>
      <c r="G28" s="48">
        <f t="shared" si="2"/>
        <v>14</v>
      </c>
      <c r="H28" s="48">
        <f t="shared" si="2"/>
        <v>14</v>
      </c>
      <c r="I28" s="45"/>
      <c r="J28" s="48">
        <f t="shared" ref="J28:O28" si="3">ROWS(J14:J27) - COUNTIF(J14:J27,"X")</f>
        <v>14</v>
      </c>
      <c r="K28" s="48">
        <f t="shared" si="3"/>
        <v>14</v>
      </c>
      <c r="L28" s="48">
        <f t="shared" si="3"/>
        <v>14</v>
      </c>
      <c r="M28" s="48">
        <f t="shared" si="3"/>
        <v>14</v>
      </c>
      <c r="N28" s="48">
        <f t="shared" si="3"/>
        <v>14</v>
      </c>
      <c r="O28" s="48">
        <f t="shared" si="3"/>
        <v>14</v>
      </c>
      <c r="P28" s="45"/>
      <c r="Q28" s="48">
        <f t="shared" ref="Q28:V28" si="4">ROWS(Q14:Q27) - COUNTIF(Q14:Q27,"X")</f>
        <v>14</v>
      </c>
      <c r="R28" s="48">
        <f t="shared" si="4"/>
        <v>14</v>
      </c>
      <c r="S28" s="48">
        <f t="shared" si="4"/>
        <v>14</v>
      </c>
      <c r="T28" s="48">
        <f t="shared" si="4"/>
        <v>14</v>
      </c>
      <c r="U28" s="48">
        <f t="shared" si="4"/>
        <v>14</v>
      </c>
      <c r="V28" s="48">
        <f t="shared" si="4"/>
        <v>14</v>
      </c>
      <c r="W28" s="45"/>
      <c r="X28" s="48">
        <f t="shared" ref="X28:AC28" si="5">ROWS(X14:X27) - COUNTIF(X14:X27,"X")</f>
        <v>14</v>
      </c>
      <c r="Y28" s="48">
        <f t="shared" si="5"/>
        <v>14</v>
      </c>
      <c r="Z28" s="48">
        <f t="shared" si="5"/>
        <v>14</v>
      </c>
      <c r="AA28" s="48">
        <f t="shared" si="5"/>
        <v>14</v>
      </c>
      <c r="AB28" s="48">
        <f t="shared" si="5"/>
        <v>14</v>
      </c>
      <c r="AC28" s="48">
        <f t="shared" si="5"/>
        <v>14</v>
      </c>
      <c r="AD28" s="45"/>
      <c r="AE28" s="48"/>
      <c r="AF28" s="48"/>
      <c r="AG28" s="48"/>
      <c r="AH28" s="48"/>
      <c r="AI28" s="48"/>
      <c r="AJ28" s="48"/>
      <c r="AK28" s="47">
        <f>SUM(AK14:AK27)</f>
        <v>1</v>
      </c>
      <c r="AL28" s="47">
        <f>SUM(AL14:AL27)</f>
        <v>1</v>
      </c>
      <c r="AM28" s="141">
        <f>SUM(C28:AJ28)</f>
        <v>335</v>
      </c>
      <c r="AN28" s="141"/>
      <c r="AO28" s="141"/>
      <c r="AP28" s="142"/>
    </row>
    <row r="29" spans="1:42" ht="14.1" customHeight="1">
      <c r="A29" s="49">
        <v>1</v>
      </c>
      <c r="B29" s="51"/>
      <c r="C29" s="43"/>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43"/>
      <c r="AF29" s="43"/>
      <c r="AG29" s="43"/>
      <c r="AH29" s="43"/>
      <c r="AI29" s="43"/>
      <c r="AJ29" s="43"/>
      <c r="AK29" s="46">
        <f t="shared" ref="AK29:AK64" si="6">COUNTIF(D29:AJ29,"X")</f>
        <v>0</v>
      </c>
      <c r="AL29" s="46">
        <f t="shared" ref="AL29:AL64" si="7">COUNTIF(D29:AJ29,"T")</f>
        <v>0</v>
      </c>
      <c r="AM29" s="153"/>
      <c r="AN29" s="154"/>
      <c r="AO29" s="154"/>
      <c r="AP29" s="155"/>
    </row>
    <row r="30" spans="1:42" ht="14.1" customHeight="1">
      <c r="A30" s="42">
        <v>2</v>
      </c>
      <c r="B30" s="52"/>
      <c r="C30" s="43"/>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43"/>
      <c r="AF30" s="43"/>
      <c r="AG30" s="43"/>
      <c r="AH30" s="43"/>
      <c r="AI30" s="43"/>
      <c r="AJ30" s="43"/>
      <c r="AK30" s="46">
        <f t="shared" si="6"/>
        <v>0</v>
      </c>
      <c r="AL30" s="46">
        <f t="shared" si="7"/>
        <v>0</v>
      </c>
      <c r="AM30" s="150"/>
      <c r="AN30" s="151"/>
      <c r="AO30" s="151"/>
      <c r="AP30" s="152"/>
    </row>
    <row r="31" spans="1:42" ht="14.1" customHeight="1">
      <c r="A31" s="42">
        <v>3</v>
      </c>
      <c r="B31" s="52"/>
      <c r="C31" s="43"/>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43"/>
      <c r="AF31" s="43"/>
      <c r="AG31" s="43"/>
      <c r="AH31" s="43"/>
      <c r="AI31" s="43"/>
      <c r="AJ31" s="43"/>
      <c r="AK31" s="46">
        <f t="shared" si="6"/>
        <v>0</v>
      </c>
      <c r="AL31" s="46">
        <f t="shared" si="7"/>
        <v>0</v>
      </c>
      <c r="AM31" s="150"/>
      <c r="AN31" s="151"/>
      <c r="AO31" s="151"/>
      <c r="AP31" s="152"/>
    </row>
    <row r="32" spans="1:42" ht="14.1" customHeight="1">
      <c r="A32" s="42">
        <v>4</v>
      </c>
      <c r="B32" s="52"/>
      <c r="C32" s="43"/>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43"/>
      <c r="AF32" s="43"/>
      <c r="AG32" s="43"/>
      <c r="AH32" s="43"/>
      <c r="AI32" s="43"/>
      <c r="AJ32" s="43"/>
      <c r="AK32" s="46">
        <f t="shared" si="6"/>
        <v>0</v>
      </c>
      <c r="AL32" s="46">
        <f t="shared" si="7"/>
        <v>0</v>
      </c>
      <c r="AM32" s="150"/>
      <c r="AN32" s="151"/>
      <c r="AO32" s="151"/>
      <c r="AP32" s="152"/>
    </row>
    <row r="33" spans="1:42" ht="14.1" customHeight="1">
      <c r="A33" s="42">
        <v>5</v>
      </c>
      <c r="B33" s="52"/>
      <c r="C33" s="43"/>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43"/>
      <c r="AF33" s="43"/>
      <c r="AG33" s="43"/>
      <c r="AH33" s="43"/>
      <c r="AI33" s="43"/>
      <c r="AJ33" s="43"/>
      <c r="AK33" s="46">
        <f t="shared" si="6"/>
        <v>0</v>
      </c>
      <c r="AL33" s="46">
        <f t="shared" si="7"/>
        <v>0</v>
      </c>
      <c r="AM33" s="150"/>
      <c r="AN33" s="151"/>
      <c r="AO33" s="151"/>
      <c r="AP33" s="152"/>
    </row>
    <row r="34" spans="1:42" ht="14.1" customHeight="1">
      <c r="A34" s="42">
        <v>6</v>
      </c>
      <c r="B34" s="52"/>
      <c r="C34" s="43"/>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43"/>
      <c r="AF34" s="43"/>
      <c r="AG34" s="43"/>
      <c r="AH34" s="43"/>
      <c r="AI34" s="43"/>
      <c r="AJ34" s="43"/>
      <c r="AK34" s="46">
        <f t="shared" si="6"/>
        <v>0</v>
      </c>
      <c r="AL34" s="46">
        <f t="shared" si="7"/>
        <v>0</v>
      </c>
      <c r="AM34" s="150"/>
      <c r="AN34" s="151"/>
      <c r="AO34" s="151"/>
      <c r="AP34" s="152"/>
    </row>
    <row r="35" spans="1:42" ht="14.1" customHeight="1">
      <c r="A35" s="42">
        <v>7</v>
      </c>
      <c r="B35" s="52"/>
      <c r="C35" s="43"/>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43"/>
      <c r="AF35" s="43"/>
      <c r="AG35" s="43"/>
      <c r="AH35" s="43"/>
      <c r="AI35" s="43"/>
      <c r="AJ35" s="43"/>
      <c r="AK35" s="46">
        <f t="shared" si="6"/>
        <v>0</v>
      </c>
      <c r="AL35" s="46">
        <f t="shared" si="7"/>
        <v>0</v>
      </c>
      <c r="AM35" s="150"/>
      <c r="AN35" s="151"/>
      <c r="AO35" s="151"/>
      <c r="AP35" s="152"/>
    </row>
    <row r="36" spans="1:42" ht="14.1" customHeight="1">
      <c r="A36" s="42">
        <v>8</v>
      </c>
      <c r="B36" s="52"/>
      <c r="C36" s="43"/>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43"/>
      <c r="AF36" s="43"/>
      <c r="AG36" s="43"/>
      <c r="AH36" s="43"/>
      <c r="AI36" s="43"/>
      <c r="AJ36" s="43"/>
      <c r="AK36" s="46">
        <f t="shared" si="6"/>
        <v>0</v>
      </c>
      <c r="AL36" s="46">
        <f t="shared" si="7"/>
        <v>0</v>
      </c>
      <c r="AM36" s="150"/>
      <c r="AN36" s="151"/>
      <c r="AO36" s="151"/>
      <c r="AP36" s="152"/>
    </row>
    <row r="37" spans="1:42" ht="14.1" customHeight="1">
      <c r="A37" s="42">
        <v>9</v>
      </c>
      <c r="B37" s="52"/>
      <c r="C37" s="43"/>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43"/>
      <c r="AF37" s="43"/>
      <c r="AG37" s="43"/>
      <c r="AH37" s="43"/>
      <c r="AI37" s="43"/>
      <c r="AJ37" s="43"/>
      <c r="AK37" s="46">
        <f t="shared" si="6"/>
        <v>0</v>
      </c>
      <c r="AL37" s="46">
        <f t="shared" si="7"/>
        <v>0</v>
      </c>
      <c r="AM37" s="150"/>
      <c r="AN37" s="151"/>
      <c r="AO37" s="151"/>
      <c r="AP37" s="152"/>
    </row>
    <row r="38" spans="1:42" ht="14.1" customHeight="1">
      <c r="A38" s="42">
        <v>10</v>
      </c>
      <c r="B38" s="52"/>
      <c r="C38" s="43"/>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43"/>
      <c r="AF38" s="43"/>
      <c r="AG38" s="43"/>
      <c r="AH38" s="43"/>
      <c r="AI38" s="43"/>
      <c r="AJ38" s="43"/>
      <c r="AK38" s="46">
        <f t="shared" si="6"/>
        <v>0</v>
      </c>
      <c r="AL38" s="46">
        <f t="shared" si="7"/>
        <v>0</v>
      </c>
      <c r="AM38" s="150"/>
      <c r="AN38" s="151"/>
      <c r="AO38" s="151"/>
      <c r="AP38" s="152"/>
    </row>
    <row r="39" spans="1:42" ht="14.1" customHeight="1">
      <c r="A39" s="42">
        <v>11</v>
      </c>
      <c r="B39" s="52"/>
      <c r="C39" s="43"/>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43"/>
      <c r="AF39" s="43"/>
      <c r="AG39" s="43"/>
      <c r="AH39" s="43"/>
      <c r="AI39" s="43"/>
      <c r="AJ39" s="43"/>
      <c r="AK39" s="46">
        <f t="shared" si="6"/>
        <v>0</v>
      </c>
      <c r="AL39" s="46">
        <f t="shared" si="7"/>
        <v>0</v>
      </c>
      <c r="AM39" s="150"/>
      <c r="AN39" s="151"/>
      <c r="AO39" s="151"/>
      <c r="AP39" s="152"/>
    </row>
    <row r="40" spans="1:42" ht="14.1" customHeight="1">
      <c r="A40" s="42">
        <v>12</v>
      </c>
      <c r="B40" s="52"/>
      <c r="C40" s="43"/>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43"/>
      <c r="AF40" s="43"/>
      <c r="AG40" s="43"/>
      <c r="AH40" s="43"/>
      <c r="AI40" s="43"/>
      <c r="AJ40" s="43"/>
      <c r="AK40" s="46">
        <f t="shared" si="6"/>
        <v>0</v>
      </c>
      <c r="AL40" s="46">
        <f t="shared" si="7"/>
        <v>0</v>
      </c>
      <c r="AM40" s="150"/>
      <c r="AN40" s="151"/>
      <c r="AO40" s="151"/>
      <c r="AP40" s="152"/>
    </row>
    <row r="41" spans="1:42" ht="14.1" customHeight="1">
      <c r="A41" s="42">
        <v>13</v>
      </c>
      <c r="B41" s="52"/>
      <c r="C41" s="43"/>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43"/>
      <c r="AF41" s="43"/>
      <c r="AG41" s="43"/>
      <c r="AH41" s="43"/>
      <c r="AI41" s="43"/>
      <c r="AJ41" s="43"/>
      <c r="AK41" s="46">
        <f t="shared" si="6"/>
        <v>0</v>
      </c>
      <c r="AL41" s="46">
        <f t="shared" si="7"/>
        <v>0</v>
      </c>
      <c r="AM41" s="150"/>
      <c r="AN41" s="151"/>
      <c r="AO41" s="151"/>
      <c r="AP41" s="152"/>
    </row>
    <row r="42" spans="1:42" ht="14.1" customHeight="1">
      <c r="A42" s="42">
        <v>14</v>
      </c>
      <c r="B42" s="52"/>
      <c r="C42" s="43"/>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43"/>
      <c r="AF42" s="43"/>
      <c r="AG42" s="43"/>
      <c r="AH42" s="43"/>
      <c r="AI42" s="43"/>
      <c r="AJ42" s="43"/>
      <c r="AK42" s="46">
        <f t="shared" si="6"/>
        <v>0</v>
      </c>
      <c r="AL42" s="46">
        <f t="shared" si="7"/>
        <v>0</v>
      </c>
      <c r="AM42" s="150"/>
      <c r="AN42" s="151"/>
      <c r="AO42" s="151"/>
      <c r="AP42" s="152"/>
    </row>
    <row r="43" spans="1:42" ht="14.1" customHeight="1">
      <c r="A43" s="42">
        <v>15</v>
      </c>
      <c r="B43" s="52"/>
      <c r="C43" s="43"/>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43"/>
      <c r="AF43" s="43"/>
      <c r="AG43" s="43"/>
      <c r="AH43" s="43"/>
      <c r="AI43" s="43"/>
      <c r="AJ43" s="43"/>
      <c r="AK43" s="46">
        <f t="shared" si="6"/>
        <v>0</v>
      </c>
      <c r="AL43" s="46">
        <f t="shared" si="7"/>
        <v>0</v>
      </c>
      <c r="AM43" s="150"/>
      <c r="AN43" s="151"/>
      <c r="AO43" s="151"/>
      <c r="AP43" s="152"/>
    </row>
    <row r="44" spans="1:42" ht="14.1" customHeight="1">
      <c r="A44" s="42">
        <v>16</v>
      </c>
      <c r="B44" s="52"/>
      <c r="C44" s="43"/>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43"/>
      <c r="AF44" s="43"/>
      <c r="AG44" s="43"/>
      <c r="AH44" s="43"/>
      <c r="AI44" s="43"/>
      <c r="AJ44" s="43"/>
      <c r="AK44" s="46">
        <f t="shared" si="6"/>
        <v>0</v>
      </c>
      <c r="AL44" s="46">
        <f t="shared" si="7"/>
        <v>0</v>
      </c>
      <c r="AM44" s="150"/>
      <c r="AN44" s="151"/>
      <c r="AO44" s="151"/>
      <c r="AP44" s="152"/>
    </row>
    <row r="45" spans="1:42" ht="14.1" customHeight="1">
      <c r="A45" s="42">
        <v>17</v>
      </c>
      <c r="B45" s="52"/>
      <c r="C45" s="43"/>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43"/>
      <c r="AF45" s="43"/>
      <c r="AG45" s="43"/>
      <c r="AH45" s="43"/>
      <c r="AI45" s="43"/>
      <c r="AJ45" s="43"/>
      <c r="AK45" s="46">
        <f t="shared" si="6"/>
        <v>0</v>
      </c>
      <c r="AL45" s="46">
        <f t="shared" si="7"/>
        <v>0</v>
      </c>
      <c r="AM45" s="150"/>
      <c r="AN45" s="151"/>
      <c r="AO45" s="151"/>
      <c r="AP45" s="152"/>
    </row>
    <row r="46" spans="1:42" ht="14.1" customHeight="1">
      <c r="A46" s="42">
        <v>18</v>
      </c>
      <c r="B46" s="52"/>
      <c r="C46" s="43"/>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43"/>
      <c r="AF46" s="43"/>
      <c r="AG46" s="43"/>
      <c r="AH46" s="43"/>
      <c r="AI46" s="43"/>
      <c r="AJ46" s="43"/>
      <c r="AK46" s="46">
        <f t="shared" si="6"/>
        <v>0</v>
      </c>
      <c r="AL46" s="46">
        <f t="shared" si="7"/>
        <v>0</v>
      </c>
      <c r="AM46" s="150"/>
      <c r="AN46" s="151"/>
      <c r="AO46" s="151"/>
      <c r="AP46" s="152"/>
    </row>
    <row r="47" spans="1:42" ht="14.1" customHeight="1">
      <c r="A47" s="42">
        <v>19</v>
      </c>
      <c r="B47" s="56"/>
      <c r="C47" s="43"/>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43"/>
      <c r="AF47" s="43"/>
      <c r="AG47" s="43"/>
      <c r="AH47" s="43"/>
      <c r="AI47" s="43"/>
      <c r="AJ47" s="43"/>
      <c r="AK47" s="46">
        <f t="shared" si="6"/>
        <v>0</v>
      </c>
      <c r="AL47" s="46">
        <f t="shared" si="7"/>
        <v>0</v>
      </c>
      <c r="AM47" s="150"/>
      <c r="AN47" s="151"/>
      <c r="AO47" s="151"/>
      <c r="AP47" s="152"/>
    </row>
    <row r="48" spans="1:42" ht="14.1" customHeight="1">
      <c r="A48" s="42">
        <v>20</v>
      </c>
      <c r="B48" s="52"/>
      <c r="C48" s="43"/>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43"/>
      <c r="AF48" s="43"/>
      <c r="AG48" s="43"/>
      <c r="AH48" s="43"/>
      <c r="AI48" s="43"/>
      <c r="AJ48" s="43"/>
      <c r="AK48" s="46">
        <f t="shared" si="6"/>
        <v>0</v>
      </c>
      <c r="AL48" s="46">
        <f t="shared" si="7"/>
        <v>0</v>
      </c>
      <c r="AM48" s="150"/>
      <c r="AN48" s="151"/>
      <c r="AO48" s="151"/>
      <c r="AP48" s="152"/>
    </row>
    <row r="49" spans="1:42" ht="14.1" customHeight="1">
      <c r="A49" s="42">
        <v>21</v>
      </c>
      <c r="B49" s="52"/>
      <c r="C49" s="43"/>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43"/>
      <c r="AF49" s="43"/>
      <c r="AG49" s="43"/>
      <c r="AH49" s="43"/>
      <c r="AI49" s="43"/>
      <c r="AJ49" s="43"/>
      <c r="AK49" s="46">
        <f t="shared" si="6"/>
        <v>0</v>
      </c>
      <c r="AL49" s="46">
        <f t="shared" si="7"/>
        <v>0</v>
      </c>
      <c r="AM49" s="150"/>
      <c r="AN49" s="151"/>
      <c r="AO49" s="151"/>
      <c r="AP49" s="152"/>
    </row>
    <row r="50" spans="1:42" ht="14.1" customHeight="1">
      <c r="A50" s="42">
        <v>22</v>
      </c>
      <c r="B50" s="52"/>
      <c r="C50" s="43"/>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43"/>
      <c r="AF50" s="43"/>
      <c r="AG50" s="43"/>
      <c r="AH50" s="43"/>
      <c r="AI50" s="43"/>
      <c r="AJ50" s="43"/>
      <c r="AK50" s="46">
        <f t="shared" si="6"/>
        <v>0</v>
      </c>
      <c r="AL50" s="46">
        <f t="shared" si="7"/>
        <v>0</v>
      </c>
      <c r="AM50" s="39"/>
      <c r="AN50" s="40"/>
      <c r="AO50" s="40"/>
      <c r="AP50" s="41"/>
    </row>
    <row r="51" spans="1:42" ht="14.1" customHeight="1">
      <c r="A51" s="42">
        <v>23</v>
      </c>
      <c r="B51" s="52"/>
      <c r="C51" s="43"/>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43"/>
      <c r="AF51" s="43"/>
      <c r="AG51" s="43"/>
      <c r="AH51" s="43"/>
      <c r="AI51" s="43"/>
      <c r="AJ51" s="43"/>
      <c r="AK51" s="46">
        <f t="shared" si="6"/>
        <v>0</v>
      </c>
      <c r="AL51" s="46">
        <f t="shared" si="7"/>
        <v>0</v>
      </c>
      <c r="AM51" s="39"/>
      <c r="AN51" s="40"/>
      <c r="AO51" s="40"/>
      <c r="AP51" s="41"/>
    </row>
    <row r="52" spans="1:42" ht="14.1" customHeight="1">
      <c r="A52" s="42">
        <v>24</v>
      </c>
      <c r="B52" s="52"/>
      <c r="C52" s="43"/>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43"/>
      <c r="AF52" s="43"/>
      <c r="AG52" s="43"/>
      <c r="AH52" s="43"/>
      <c r="AI52" s="43"/>
      <c r="AJ52" s="43"/>
      <c r="AK52" s="46">
        <f t="shared" si="6"/>
        <v>0</v>
      </c>
      <c r="AL52" s="46">
        <f t="shared" si="7"/>
        <v>0</v>
      </c>
      <c r="AM52" s="39"/>
      <c r="AN52" s="40"/>
      <c r="AO52" s="40"/>
      <c r="AP52" s="41"/>
    </row>
    <row r="53" spans="1:42" ht="14.1" customHeight="1">
      <c r="A53" s="42">
        <v>25</v>
      </c>
      <c r="B53" s="52"/>
      <c r="C53" s="43"/>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43"/>
      <c r="AF53" s="43"/>
      <c r="AG53" s="43"/>
      <c r="AH53" s="43"/>
      <c r="AI53" s="43"/>
      <c r="AJ53" s="43"/>
      <c r="AK53" s="46">
        <f t="shared" si="6"/>
        <v>0</v>
      </c>
      <c r="AL53" s="46">
        <f t="shared" si="7"/>
        <v>0</v>
      </c>
      <c r="AM53" s="39"/>
      <c r="AN53" s="40"/>
      <c r="AO53" s="40"/>
      <c r="AP53" s="41"/>
    </row>
    <row r="54" spans="1:42" ht="14.1" customHeight="1">
      <c r="A54" s="42">
        <v>26</v>
      </c>
      <c r="B54" s="52"/>
      <c r="C54" s="43"/>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43"/>
      <c r="AF54" s="43"/>
      <c r="AG54" s="43"/>
      <c r="AH54" s="43"/>
      <c r="AI54" s="43"/>
      <c r="AJ54" s="43"/>
      <c r="AK54" s="46">
        <f t="shared" si="6"/>
        <v>0</v>
      </c>
      <c r="AL54" s="46">
        <f t="shared" si="7"/>
        <v>0</v>
      </c>
      <c r="AM54" s="39"/>
      <c r="AN54" s="40"/>
      <c r="AO54" s="40"/>
      <c r="AP54" s="41"/>
    </row>
    <row r="55" spans="1:42" ht="14.1" customHeight="1">
      <c r="A55" s="42">
        <v>27</v>
      </c>
      <c r="B55" s="52"/>
      <c r="C55" s="43"/>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43"/>
      <c r="AF55" s="43"/>
      <c r="AG55" s="43"/>
      <c r="AH55" s="43"/>
      <c r="AI55" s="43"/>
      <c r="AJ55" s="43"/>
      <c r="AK55" s="46">
        <f t="shared" si="6"/>
        <v>0</v>
      </c>
      <c r="AL55" s="46">
        <f t="shared" si="7"/>
        <v>0</v>
      </c>
      <c r="AM55" s="39"/>
      <c r="AN55" s="40"/>
      <c r="AO55" s="40"/>
      <c r="AP55" s="41"/>
    </row>
    <row r="56" spans="1:42" ht="14.1" customHeight="1">
      <c r="A56" s="42">
        <v>28</v>
      </c>
      <c r="B56" s="52"/>
      <c r="C56" s="43"/>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43"/>
      <c r="AF56" s="43"/>
      <c r="AG56" s="43"/>
      <c r="AH56" s="43"/>
      <c r="AI56" s="43"/>
      <c r="AJ56" s="43"/>
      <c r="AK56" s="46">
        <f t="shared" si="6"/>
        <v>0</v>
      </c>
      <c r="AL56" s="46">
        <f t="shared" si="7"/>
        <v>0</v>
      </c>
      <c r="AM56" s="39"/>
      <c r="AN56" s="40"/>
      <c r="AO56" s="40"/>
      <c r="AP56" s="41"/>
    </row>
    <row r="57" spans="1:42" ht="14.1" customHeight="1">
      <c r="A57" s="42">
        <v>29</v>
      </c>
      <c r="B57" s="52"/>
      <c r="C57" s="43"/>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43"/>
      <c r="AF57" s="43"/>
      <c r="AG57" s="43"/>
      <c r="AH57" s="43"/>
      <c r="AI57" s="43"/>
      <c r="AJ57" s="43"/>
      <c r="AK57" s="46">
        <f t="shared" si="6"/>
        <v>0</v>
      </c>
      <c r="AL57" s="46">
        <f t="shared" si="7"/>
        <v>0</v>
      </c>
      <c r="AM57" s="39"/>
      <c r="AN57" s="40"/>
      <c r="AO57" s="40"/>
      <c r="AP57" s="41"/>
    </row>
    <row r="58" spans="1:42" ht="14.1" customHeight="1">
      <c r="A58" s="42">
        <v>30</v>
      </c>
      <c r="B58" s="52"/>
      <c r="C58" s="43"/>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43"/>
      <c r="AF58" s="43"/>
      <c r="AG58" s="43"/>
      <c r="AH58" s="43"/>
      <c r="AI58" s="43"/>
      <c r="AJ58" s="43"/>
      <c r="AK58" s="46">
        <f t="shared" si="6"/>
        <v>0</v>
      </c>
      <c r="AL58" s="46">
        <f t="shared" si="7"/>
        <v>0</v>
      </c>
      <c r="AM58" s="39"/>
      <c r="AN58" s="40"/>
      <c r="AO58" s="40"/>
      <c r="AP58" s="41"/>
    </row>
    <row r="59" spans="1:42" ht="14.1" customHeight="1">
      <c r="A59" s="42">
        <v>31</v>
      </c>
      <c r="B59" s="52"/>
      <c r="C59" s="43"/>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43"/>
      <c r="AF59" s="43"/>
      <c r="AG59" s="43"/>
      <c r="AH59" s="43"/>
      <c r="AI59" s="43"/>
      <c r="AJ59" s="43"/>
      <c r="AK59" s="46">
        <f t="shared" si="6"/>
        <v>0</v>
      </c>
      <c r="AL59" s="46">
        <f t="shared" si="7"/>
        <v>0</v>
      </c>
      <c r="AM59" s="39"/>
      <c r="AN59" s="40"/>
      <c r="AO59" s="40"/>
      <c r="AP59" s="41"/>
    </row>
    <row r="60" spans="1:42" ht="14.1" customHeight="1">
      <c r="A60" s="42">
        <v>32</v>
      </c>
      <c r="B60" s="52"/>
      <c r="C60" s="43"/>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43"/>
      <c r="AF60" s="43"/>
      <c r="AG60" s="43"/>
      <c r="AH60" s="43"/>
      <c r="AI60" s="43"/>
      <c r="AJ60" s="43"/>
      <c r="AK60" s="46">
        <f t="shared" si="6"/>
        <v>0</v>
      </c>
      <c r="AL60" s="46">
        <f t="shared" si="7"/>
        <v>0</v>
      </c>
      <c r="AM60" s="39"/>
      <c r="AN60" s="40"/>
      <c r="AO60" s="40"/>
      <c r="AP60" s="41"/>
    </row>
    <row r="61" spans="1:42" ht="14.1" customHeight="1">
      <c r="A61" s="42">
        <v>33</v>
      </c>
      <c r="B61" s="52"/>
      <c r="C61" s="43"/>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43"/>
      <c r="AF61" s="43"/>
      <c r="AG61" s="43"/>
      <c r="AH61" s="43"/>
      <c r="AI61" s="43"/>
      <c r="AJ61" s="43"/>
      <c r="AK61" s="46">
        <f t="shared" si="6"/>
        <v>0</v>
      </c>
      <c r="AL61" s="46">
        <f t="shared" si="7"/>
        <v>0</v>
      </c>
      <c r="AM61" s="39"/>
      <c r="AN61" s="40"/>
      <c r="AO61" s="40"/>
      <c r="AP61" s="41"/>
    </row>
    <row r="62" spans="1:42" ht="14.1" customHeight="1">
      <c r="A62" s="42">
        <v>34</v>
      </c>
      <c r="B62" s="56"/>
      <c r="C62" s="43"/>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43"/>
      <c r="AF62" s="43"/>
      <c r="AG62" s="43"/>
      <c r="AH62" s="43"/>
      <c r="AI62" s="43"/>
      <c r="AJ62" s="43"/>
      <c r="AK62" s="46">
        <f t="shared" si="6"/>
        <v>0</v>
      </c>
      <c r="AL62" s="46">
        <f t="shared" si="7"/>
        <v>0</v>
      </c>
      <c r="AM62" s="39"/>
      <c r="AN62" s="40"/>
      <c r="AO62" s="40"/>
      <c r="AP62" s="41"/>
    </row>
    <row r="63" spans="1:42" ht="14.1" customHeight="1">
      <c r="A63" s="42">
        <v>35</v>
      </c>
      <c r="B63" s="52"/>
      <c r="C63" s="43"/>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43"/>
      <c r="AF63" s="43"/>
      <c r="AG63" s="43"/>
      <c r="AH63" s="43"/>
      <c r="AI63" s="43"/>
      <c r="AJ63" s="43"/>
      <c r="AK63" s="46">
        <f t="shared" si="6"/>
        <v>0</v>
      </c>
      <c r="AL63" s="46">
        <f t="shared" si="7"/>
        <v>0</v>
      </c>
      <c r="AM63" s="150"/>
      <c r="AN63" s="151"/>
      <c r="AO63" s="151"/>
      <c r="AP63" s="152"/>
    </row>
    <row r="64" spans="1:42" ht="14.1" customHeight="1" thickBot="1">
      <c r="A64" s="50">
        <v>36</v>
      </c>
      <c r="B64" s="57"/>
      <c r="C64" s="43"/>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43"/>
      <c r="AF64" s="43"/>
      <c r="AG64" s="43"/>
      <c r="AH64" s="43"/>
      <c r="AI64" s="43"/>
      <c r="AJ64" s="43"/>
      <c r="AK64" s="46">
        <f t="shared" si="6"/>
        <v>0</v>
      </c>
      <c r="AL64" s="46">
        <f t="shared" si="7"/>
        <v>0</v>
      </c>
      <c r="AM64" s="150"/>
      <c r="AN64" s="151"/>
      <c r="AO64" s="151"/>
      <c r="AP64" s="152"/>
    </row>
    <row r="65" spans="1:42" ht="15.75" thickBot="1">
      <c r="A65" s="139" t="s">
        <v>35</v>
      </c>
      <c r="B65" s="140"/>
      <c r="C65" s="48">
        <f t="shared" ref="C65:H65" si="8">ROWS(C29:C64) - COUNTIF(C29:C64,"X")</f>
        <v>36</v>
      </c>
      <c r="D65" s="48">
        <f t="shared" si="8"/>
        <v>36</v>
      </c>
      <c r="E65" s="48">
        <f t="shared" si="8"/>
        <v>36</v>
      </c>
      <c r="F65" s="48">
        <f t="shared" si="8"/>
        <v>36</v>
      </c>
      <c r="G65" s="48">
        <f t="shared" si="8"/>
        <v>36</v>
      </c>
      <c r="H65" s="48">
        <f t="shared" si="8"/>
        <v>36</v>
      </c>
      <c r="I65" s="45">
        <f t="shared" ref="I65:AD65" si="9">COUNTIF(I29:I64,"X")</f>
        <v>0</v>
      </c>
      <c r="J65" s="48">
        <f t="shared" ref="J65:O65" si="10">ROWS(J29:J64) - COUNTIF(J29:J64,"X")</f>
        <v>36</v>
      </c>
      <c r="K65" s="48">
        <f t="shared" si="10"/>
        <v>36</v>
      </c>
      <c r="L65" s="48">
        <f t="shared" si="10"/>
        <v>36</v>
      </c>
      <c r="M65" s="48">
        <f t="shared" si="10"/>
        <v>36</v>
      </c>
      <c r="N65" s="48">
        <f t="shared" si="10"/>
        <v>36</v>
      </c>
      <c r="O65" s="48">
        <f t="shared" si="10"/>
        <v>36</v>
      </c>
      <c r="P65" s="45">
        <f t="shared" si="9"/>
        <v>0</v>
      </c>
      <c r="Q65" s="48">
        <f t="shared" ref="Q65:V65" si="11">ROWS(Q29:Q64) - COUNTIF(Q29:Q64,"X")</f>
        <v>36</v>
      </c>
      <c r="R65" s="48">
        <f t="shared" si="11"/>
        <v>36</v>
      </c>
      <c r="S65" s="48">
        <f t="shared" si="11"/>
        <v>36</v>
      </c>
      <c r="T65" s="48">
        <f t="shared" si="11"/>
        <v>36</v>
      </c>
      <c r="U65" s="48">
        <f t="shared" si="11"/>
        <v>36</v>
      </c>
      <c r="V65" s="48">
        <f t="shared" si="11"/>
        <v>36</v>
      </c>
      <c r="W65" s="45">
        <f t="shared" si="9"/>
        <v>0</v>
      </c>
      <c r="X65" s="48">
        <f t="shared" ref="X65:AC65" si="12">ROWS(X29:X64) - COUNTIF(X29:X64,"X")</f>
        <v>36</v>
      </c>
      <c r="Y65" s="48">
        <f t="shared" si="12"/>
        <v>36</v>
      </c>
      <c r="Z65" s="48">
        <f t="shared" si="12"/>
        <v>36</v>
      </c>
      <c r="AA65" s="48">
        <f t="shared" si="12"/>
        <v>36</v>
      </c>
      <c r="AB65" s="48">
        <f t="shared" si="12"/>
        <v>36</v>
      </c>
      <c r="AC65" s="48">
        <f t="shared" si="12"/>
        <v>36</v>
      </c>
      <c r="AD65" s="45">
        <f t="shared" si="9"/>
        <v>0</v>
      </c>
      <c r="AE65" s="48"/>
      <c r="AF65" s="48"/>
      <c r="AG65" s="48"/>
      <c r="AH65" s="48"/>
      <c r="AI65" s="48"/>
      <c r="AJ65" s="48"/>
      <c r="AK65" s="47">
        <f>SUM(AK29:AK64)</f>
        <v>0</v>
      </c>
      <c r="AL65" s="47">
        <f>SUM(AL29:AL64)</f>
        <v>0</v>
      </c>
      <c r="AM65" s="141">
        <f>SUM(C65:AJ65)</f>
        <v>864</v>
      </c>
      <c r="AN65" s="141"/>
      <c r="AO65" s="141"/>
      <c r="AP65" s="142"/>
    </row>
    <row r="66" spans="1:42" ht="15" customHeight="1" thickBot="1">
      <c r="A66" s="139" t="s">
        <v>36</v>
      </c>
      <c r="B66" s="140"/>
      <c r="C66" s="44">
        <f t="shared" ref="C66:E66" si="13">SUM(C28,C65)</f>
        <v>50</v>
      </c>
      <c r="D66" s="44">
        <f t="shared" si="13"/>
        <v>50</v>
      </c>
      <c r="E66" s="44">
        <f t="shared" si="13"/>
        <v>50</v>
      </c>
      <c r="F66" s="44">
        <f>SUM(F28,F65)</f>
        <v>49</v>
      </c>
      <c r="G66" s="44">
        <f>SUM(G28,G65)</f>
        <v>50</v>
      </c>
      <c r="H66" s="44">
        <f>SUM(H28,H65)</f>
        <v>50</v>
      </c>
      <c r="I66" s="21"/>
      <c r="J66" s="44">
        <f t="shared" ref="J66:O66" si="14">SUM(J28,J65)</f>
        <v>50</v>
      </c>
      <c r="K66" s="44">
        <f t="shared" si="14"/>
        <v>50</v>
      </c>
      <c r="L66" s="44">
        <f t="shared" si="14"/>
        <v>50</v>
      </c>
      <c r="M66" s="44">
        <f t="shared" si="14"/>
        <v>50</v>
      </c>
      <c r="N66" s="44">
        <f t="shared" si="14"/>
        <v>50</v>
      </c>
      <c r="O66" s="44">
        <f t="shared" si="14"/>
        <v>50</v>
      </c>
      <c r="P66" s="21"/>
      <c r="Q66" s="44">
        <f t="shared" ref="Q66:V66" si="15">SUM(Q28,Q65)</f>
        <v>50</v>
      </c>
      <c r="R66" s="44">
        <f t="shared" si="15"/>
        <v>50</v>
      </c>
      <c r="S66" s="44">
        <f t="shared" si="15"/>
        <v>50</v>
      </c>
      <c r="T66" s="44">
        <f t="shared" si="15"/>
        <v>50</v>
      </c>
      <c r="U66" s="44">
        <f t="shared" si="15"/>
        <v>50</v>
      </c>
      <c r="V66" s="44">
        <f t="shared" si="15"/>
        <v>50</v>
      </c>
      <c r="W66" s="21"/>
      <c r="X66" s="44">
        <f t="shared" ref="X66:AC66" si="16">SUM(X28,X65)</f>
        <v>50</v>
      </c>
      <c r="Y66" s="44">
        <f t="shared" si="16"/>
        <v>50</v>
      </c>
      <c r="Z66" s="44">
        <f t="shared" si="16"/>
        <v>50</v>
      </c>
      <c r="AA66" s="44">
        <f t="shared" si="16"/>
        <v>50</v>
      </c>
      <c r="AB66" s="44">
        <f t="shared" si="16"/>
        <v>50</v>
      </c>
      <c r="AC66" s="44">
        <f t="shared" si="16"/>
        <v>50</v>
      </c>
      <c r="AD66" s="21"/>
      <c r="AE66" s="44"/>
      <c r="AF66" s="44"/>
      <c r="AG66" s="44"/>
      <c r="AH66" s="44"/>
      <c r="AI66" s="44"/>
      <c r="AJ66" s="44"/>
      <c r="AK66" s="47">
        <f>SUM(AK28,AK65)</f>
        <v>1</v>
      </c>
      <c r="AL66" s="47">
        <f t="shared" ref="AL66" si="17">SUM(AL28,AL65)</f>
        <v>1</v>
      </c>
      <c r="AM66" s="141">
        <f>SUM(C66:AJ66)</f>
        <v>1199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94</v>
      </c>
      <c r="AL69" s="134">
        <v>24</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4">
    <mergeCell ref="A2:AP2"/>
    <mergeCell ref="N4:R4"/>
    <mergeCell ref="S4:W4"/>
    <mergeCell ref="Z4:AB4"/>
    <mergeCell ref="AC4:AK4"/>
    <mergeCell ref="AL4:AM4"/>
    <mergeCell ref="AN4:AP4"/>
    <mergeCell ref="AM17:AP17"/>
    <mergeCell ref="AL6:AP6"/>
    <mergeCell ref="S8:AJ8"/>
    <mergeCell ref="AL8:AP8"/>
    <mergeCell ref="A10:A13"/>
    <mergeCell ref="B10:B11"/>
    <mergeCell ref="C10:AJ11"/>
    <mergeCell ref="AK10:AL12"/>
    <mergeCell ref="AM10:AP10"/>
    <mergeCell ref="N6:R6"/>
    <mergeCell ref="S6:W6"/>
    <mergeCell ref="X6:AA6"/>
    <mergeCell ref="AB6:AE6"/>
    <mergeCell ref="B12:B13"/>
    <mergeCell ref="AM12:AP12"/>
    <mergeCell ref="AM13:AP13"/>
    <mergeCell ref="D4:M4"/>
    <mergeCell ref="A28:B28"/>
    <mergeCell ref="AM28:AP28"/>
    <mergeCell ref="AM29:AP29"/>
    <mergeCell ref="AM30:AP30"/>
    <mergeCell ref="AM31:AP31"/>
    <mergeCell ref="AM32:AP32"/>
    <mergeCell ref="AM33:AP33"/>
    <mergeCell ref="AM34:AP34"/>
    <mergeCell ref="AM18:AP18"/>
    <mergeCell ref="AM25:AP25"/>
    <mergeCell ref="AM24:AP24"/>
    <mergeCell ref="AM27:AP27"/>
    <mergeCell ref="AM19:AP19"/>
    <mergeCell ref="AM20:AP20"/>
    <mergeCell ref="AM21:AP21"/>
    <mergeCell ref="AM22:AP22"/>
    <mergeCell ref="AM23:AP23"/>
    <mergeCell ref="AM63:AP63"/>
    <mergeCell ref="AM64:AP64"/>
    <mergeCell ref="AN68:AP68"/>
    <mergeCell ref="A69:R69"/>
    <mergeCell ref="T69:AG70"/>
    <mergeCell ref="AL69:AM69"/>
    <mergeCell ref="A70:R70"/>
    <mergeCell ref="AK70:AM70"/>
    <mergeCell ref="A65:B65"/>
    <mergeCell ref="AM65:AP65"/>
    <mergeCell ref="A66:B66"/>
    <mergeCell ref="AM66:AP66"/>
    <mergeCell ref="B71:B72"/>
    <mergeCell ref="M71:N72"/>
    <mergeCell ref="T71:AG72"/>
    <mergeCell ref="AK71:AM71"/>
    <mergeCell ref="AK72:AM72"/>
    <mergeCell ref="A68:B68"/>
    <mergeCell ref="T68:AG68"/>
    <mergeCell ref="AL68:AM68"/>
    <mergeCell ref="D71:L71"/>
    <mergeCell ref="D72:L72"/>
    <mergeCell ref="M76:N77"/>
    <mergeCell ref="AK76:AM76"/>
    <mergeCell ref="T77:AG77"/>
    <mergeCell ref="B73:B74"/>
    <mergeCell ref="M73:N74"/>
    <mergeCell ref="T73:AG73"/>
    <mergeCell ref="AK73:AM73"/>
    <mergeCell ref="T74:AG76"/>
    <mergeCell ref="AK74:AM74"/>
    <mergeCell ref="B76:B77"/>
    <mergeCell ref="AK77:AP77"/>
    <mergeCell ref="AK75:AM75"/>
    <mergeCell ref="D73:L73"/>
    <mergeCell ref="D74:L74"/>
    <mergeCell ref="D76:L76"/>
    <mergeCell ref="D77:L77"/>
    <mergeCell ref="T82:AG82"/>
    <mergeCell ref="T83:AG85"/>
    <mergeCell ref="AK85:AP85"/>
    <mergeCell ref="T86:AG86"/>
    <mergeCell ref="AK86:AP86"/>
    <mergeCell ref="T87:AG89"/>
    <mergeCell ref="T78:AG81"/>
    <mergeCell ref="AK78:AM78"/>
    <mergeCell ref="A79:R79"/>
    <mergeCell ref="AK79:AM79"/>
    <mergeCell ref="A80:R80"/>
    <mergeCell ref="AK80:AM80"/>
    <mergeCell ref="AK81:AM81"/>
    <mergeCell ref="AK82:AM82"/>
    <mergeCell ref="T95:AG95"/>
    <mergeCell ref="T96:AG96"/>
    <mergeCell ref="T97:AG97"/>
    <mergeCell ref="T90:AG90"/>
    <mergeCell ref="T91:AG91"/>
    <mergeCell ref="AK91:AP91"/>
    <mergeCell ref="AK92:AP92"/>
    <mergeCell ref="T93:AG93"/>
    <mergeCell ref="T94:AG94"/>
    <mergeCell ref="AM41:AP41"/>
    <mergeCell ref="AM42:AP42"/>
    <mergeCell ref="AM43:AP43"/>
    <mergeCell ref="AM44:AP44"/>
    <mergeCell ref="AM45:AP45"/>
    <mergeCell ref="AM46:AP46"/>
    <mergeCell ref="AM47:AP47"/>
    <mergeCell ref="AM48:AP48"/>
    <mergeCell ref="AM49:AP49"/>
    <mergeCell ref="D6:M6"/>
    <mergeCell ref="D8:M8"/>
    <mergeCell ref="N8:R8"/>
    <mergeCell ref="AM36:AP36"/>
    <mergeCell ref="AM37:AP37"/>
    <mergeCell ref="AM38:AP38"/>
    <mergeCell ref="AM39:AP39"/>
    <mergeCell ref="AM40:AP40"/>
    <mergeCell ref="AM11:AP11"/>
    <mergeCell ref="AM35:AP35"/>
    <mergeCell ref="AM14:AP14"/>
    <mergeCell ref="AM15:AP15"/>
    <mergeCell ref="AM16:AP16"/>
  </mergeCells>
  <pageMargins left="0.12" right="0.12" top="0.48" bottom="0.12" header="0.3" footer="0.12"/>
  <pageSetup paperSize="9" scale="71" fitToHeight="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AY97"/>
  <sheetViews>
    <sheetView zoomScale="85" zoomScaleNormal="85" workbookViewId="0">
      <selection activeCell="AH71" sqref="AH71"/>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95</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v>1</v>
      </c>
      <c r="D12" s="87">
        <v>2</v>
      </c>
      <c r="E12" s="61">
        <v>3</v>
      </c>
      <c r="F12" s="61">
        <v>4</v>
      </c>
      <c r="G12" s="61">
        <v>5</v>
      </c>
      <c r="H12" s="61">
        <v>6</v>
      </c>
      <c r="I12" s="62"/>
      <c r="J12" s="61">
        <v>8</v>
      </c>
      <c r="K12" s="61">
        <v>9</v>
      </c>
      <c r="L12" s="61">
        <v>10</v>
      </c>
      <c r="M12" s="61">
        <v>11</v>
      </c>
      <c r="N12" s="61">
        <v>12</v>
      </c>
      <c r="O12" s="61">
        <v>13</v>
      </c>
      <c r="P12" s="63"/>
      <c r="Q12" s="61">
        <v>15</v>
      </c>
      <c r="R12" s="61">
        <v>16</v>
      </c>
      <c r="S12" s="61">
        <v>17</v>
      </c>
      <c r="T12" s="61">
        <v>18</v>
      </c>
      <c r="U12" s="61">
        <v>19</v>
      </c>
      <c r="V12" s="61">
        <v>20</v>
      </c>
      <c r="W12" s="63"/>
      <c r="X12" s="61">
        <v>22</v>
      </c>
      <c r="Y12" s="61">
        <v>23</v>
      </c>
      <c r="Z12" s="61">
        <v>24</v>
      </c>
      <c r="AA12" s="61">
        <v>25</v>
      </c>
      <c r="AB12" s="61">
        <v>26</v>
      </c>
      <c r="AC12" s="61">
        <v>27</v>
      </c>
      <c r="AD12" s="63"/>
      <c r="AE12" s="61"/>
      <c r="AF12" s="61"/>
      <c r="AG12" s="61"/>
      <c r="AH12" s="61"/>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85" t="s">
        <v>107</v>
      </c>
      <c r="G14" s="85" t="s">
        <v>86</v>
      </c>
      <c r="H14" s="43"/>
      <c r="I14" s="22"/>
      <c r="J14" s="43"/>
      <c r="K14" s="43"/>
      <c r="L14" s="43"/>
      <c r="M14" s="43"/>
      <c r="N14" s="43"/>
      <c r="O14" s="43"/>
      <c r="P14" s="22"/>
      <c r="Q14" s="43"/>
      <c r="R14" s="43"/>
      <c r="S14" s="43"/>
      <c r="T14" s="43"/>
      <c r="U14" s="43"/>
      <c r="V14" s="43"/>
      <c r="W14" s="22"/>
      <c r="X14" s="43"/>
      <c r="Y14" s="43"/>
      <c r="Z14" s="43"/>
      <c r="AA14" s="43"/>
      <c r="AB14" s="43"/>
      <c r="AC14" s="43"/>
      <c r="AD14" s="22"/>
      <c r="AE14" s="43"/>
      <c r="AF14" s="43"/>
      <c r="AG14" s="43"/>
      <c r="AH14" s="43"/>
      <c r="AI14" s="43"/>
      <c r="AJ14" s="43"/>
      <c r="AK14" s="46">
        <f t="shared" ref="AK14:AK27" si="0">COUNTIF(D14:AJ14,"X")</f>
        <v>1</v>
      </c>
      <c r="AL14" s="46">
        <f t="shared" ref="AL14:AL27" si="1">COUNTIF(D14:AJ14,"T")</f>
        <v>1</v>
      </c>
      <c r="AM14" s="153"/>
      <c r="AN14" s="154"/>
      <c r="AO14" s="154"/>
      <c r="AP14" s="155"/>
    </row>
    <row r="15" spans="1:51"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43"/>
      <c r="AF15" s="43"/>
      <c r="AG15" s="43"/>
      <c r="AH15" s="43"/>
      <c r="AI15" s="43"/>
      <c r="AJ15" s="43"/>
      <c r="AK15" s="46">
        <f t="shared" si="0"/>
        <v>0</v>
      </c>
      <c r="AL15" s="46">
        <f t="shared" si="1"/>
        <v>0</v>
      </c>
      <c r="AM15" s="150"/>
      <c r="AN15" s="151"/>
      <c r="AO15" s="151"/>
      <c r="AP15" s="152"/>
    </row>
    <row r="16" spans="1:51"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43"/>
      <c r="AF16" s="43"/>
      <c r="AG16" s="43"/>
      <c r="AH16" s="43"/>
      <c r="AI16" s="43"/>
      <c r="AJ16" s="43"/>
      <c r="AK16" s="46">
        <f t="shared" si="0"/>
        <v>0</v>
      </c>
      <c r="AL16" s="46">
        <f t="shared" si="1"/>
        <v>0</v>
      </c>
      <c r="AM16" s="150"/>
      <c r="AN16" s="151"/>
      <c r="AO16" s="151"/>
      <c r="AP16" s="152"/>
    </row>
    <row r="17" spans="1:42"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43"/>
      <c r="AF17" s="43"/>
      <c r="AG17" s="43"/>
      <c r="AH17" s="43"/>
      <c r="AI17" s="43"/>
      <c r="AJ17" s="43"/>
      <c r="AK17" s="46">
        <f t="shared" si="0"/>
        <v>0</v>
      </c>
      <c r="AL17" s="46">
        <f t="shared" si="1"/>
        <v>0</v>
      </c>
      <c r="AM17" s="150"/>
      <c r="AN17" s="151"/>
      <c r="AO17" s="151"/>
      <c r="AP17" s="152"/>
    </row>
    <row r="18" spans="1:42"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43"/>
      <c r="AF18" s="43"/>
      <c r="AG18" s="43"/>
      <c r="AH18" s="43"/>
      <c r="AI18" s="43"/>
      <c r="AJ18" s="43"/>
      <c r="AK18" s="46">
        <f t="shared" si="0"/>
        <v>0</v>
      </c>
      <c r="AL18" s="46">
        <f t="shared" si="1"/>
        <v>0</v>
      </c>
      <c r="AM18" s="150"/>
      <c r="AN18" s="151"/>
      <c r="AO18" s="151"/>
      <c r="AP18" s="152"/>
    </row>
    <row r="19" spans="1:42"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43"/>
      <c r="AF19" s="43"/>
      <c r="AG19" s="43"/>
      <c r="AH19" s="43"/>
      <c r="AI19" s="43"/>
      <c r="AJ19" s="43"/>
      <c r="AK19" s="46">
        <f t="shared" si="0"/>
        <v>0</v>
      </c>
      <c r="AL19" s="46">
        <f t="shared" si="1"/>
        <v>0</v>
      </c>
      <c r="AM19" s="150"/>
      <c r="AN19" s="151"/>
      <c r="AO19" s="151"/>
      <c r="AP19" s="152"/>
    </row>
    <row r="20" spans="1:42"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43"/>
      <c r="AF20" s="43"/>
      <c r="AG20" s="43"/>
      <c r="AH20" s="43"/>
      <c r="AI20" s="43"/>
      <c r="AJ20" s="43"/>
      <c r="AK20" s="46">
        <f t="shared" si="0"/>
        <v>0</v>
      </c>
      <c r="AL20" s="46">
        <f t="shared" si="1"/>
        <v>0</v>
      </c>
      <c r="AM20" s="150"/>
      <c r="AN20" s="151"/>
      <c r="AO20" s="151"/>
      <c r="AP20" s="152"/>
    </row>
    <row r="21" spans="1:42"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43"/>
      <c r="AF21" s="43"/>
      <c r="AG21" s="43"/>
      <c r="AH21" s="43"/>
      <c r="AI21" s="43"/>
      <c r="AJ21" s="43"/>
      <c r="AK21" s="46">
        <f t="shared" si="0"/>
        <v>0</v>
      </c>
      <c r="AL21" s="46">
        <f t="shared" si="1"/>
        <v>0</v>
      </c>
      <c r="AM21" s="150"/>
      <c r="AN21" s="151"/>
      <c r="AO21" s="151"/>
      <c r="AP21" s="152"/>
    </row>
    <row r="22" spans="1:42" ht="14.1" customHeight="1">
      <c r="A22" s="42">
        <v>9</v>
      </c>
      <c r="B22" s="52"/>
      <c r="C22" s="43"/>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43"/>
      <c r="AF22" s="43"/>
      <c r="AG22" s="43"/>
      <c r="AH22" s="43"/>
      <c r="AI22" s="43"/>
      <c r="AJ22" s="43"/>
      <c r="AK22" s="46">
        <f t="shared" si="0"/>
        <v>0</v>
      </c>
      <c r="AL22" s="46">
        <f t="shared" si="1"/>
        <v>0</v>
      </c>
      <c r="AM22" s="150"/>
      <c r="AN22" s="151"/>
      <c r="AO22" s="151"/>
      <c r="AP22" s="152"/>
    </row>
    <row r="23" spans="1:42" ht="14.1" customHeight="1">
      <c r="A23" s="42">
        <v>10</v>
      </c>
      <c r="B23" s="53"/>
      <c r="C23" s="43"/>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43"/>
      <c r="AF23" s="43"/>
      <c r="AG23" s="43"/>
      <c r="AH23" s="43"/>
      <c r="AI23" s="43"/>
      <c r="AJ23" s="43"/>
      <c r="AK23" s="46">
        <f t="shared" si="0"/>
        <v>0</v>
      </c>
      <c r="AL23" s="46">
        <f t="shared" si="1"/>
        <v>0</v>
      </c>
      <c r="AM23" s="150"/>
      <c r="AN23" s="151"/>
      <c r="AO23" s="151"/>
      <c r="AP23" s="152"/>
    </row>
    <row r="24" spans="1:42" ht="14.1" customHeight="1">
      <c r="A24" s="42">
        <v>11</v>
      </c>
      <c r="B24" s="53"/>
      <c r="C24" s="43"/>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43"/>
      <c r="AF24" s="43"/>
      <c r="AG24" s="43"/>
      <c r="AH24" s="43"/>
      <c r="AI24" s="43"/>
      <c r="AJ24" s="43"/>
      <c r="AK24" s="46">
        <f t="shared" si="0"/>
        <v>0</v>
      </c>
      <c r="AL24" s="46">
        <f t="shared" si="1"/>
        <v>0</v>
      </c>
      <c r="AM24" s="150"/>
      <c r="AN24" s="151"/>
      <c r="AO24" s="151"/>
      <c r="AP24" s="152"/>
    </row>
    <row r="25" spans="1:42" ht="14.1" customHeight="1">
      <c r="A25" s="42">
        <v>12</v>
      </c>
      <c r="B25" s="52"/>
      <c r="C25" s="43"/>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43"/>
      <c r="AF25" s="43"/>
      <c r="AG25" s="43"/>
      <c r="AH25" s="43"/>
      <c r="AI25" s="43"/>
      <c r="AJ25" s="43"/>
      <c r="AK25" s="46">
        <f t="shared" si="0"/>
        <v>0</v>
      </c>
      <c r="AL25" s="46">
        <f t="shared" si="1"/>
        <v>0</v>
      </c>
      <c r="AM25" s="150"/>
      <c r="AN25" s="151"/>
      <c r="AO25" s="151"/>
      <c r="AP25" s="152"/>
    </row>
    <row r="26" spans="1:42" ht="14.1" customHeight="1">
      <c r="A26" s="42">
        <v>13</v>
      </c>
      <c r="B26" s="54"/>
      <c r="C26" s="43"/>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43"/>
      <c r="AF26" s="43"/>
      <c r="AG26" s="43"/>
      <c r="AH26" s="43"/>
      <c r="AI26" s="43"/>
      <c r="AJ26" s="43"/>
      <c r="AK26" s="46">
        <f t="shared" si="0"/>
        <v>0</v>
      </c>
      <c r="AL26" s="46">
        <f t="shared" si="1"/>
        <v>0</v>
      </c>
      <c r="AM26" s="39"/>
      <c r="AN26" s="40"/>
      <c r="AO26" s="40"/>
      <c r="AP26" s="41"/>
    </row>
    <row r="27" spans="1:42" ht="14.1" customHeight="1" thickBot="1">
      <c r="A27" s="50">
        <v>14</v>
      </c>
      <c r="B27" s="55"/>
      <c r="C27" s="43"/>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43"/>
      <c r="AF27" s="43"/>
      <c r="AG27" s="43"/>
      <c r="AH27" s="43"/>
      <c r="AI27" s="43"/>
      <c r="AJ27" s="43"/>
      <c r="AK27" s="46">
        <f t="shared" si="0"/>
        <v>0</v>
      </c>
      <c r="AL27" s="46">
        <f t="shared" si="1"/>
        <v>0</v>
      </c>
      <c r="AM27" s="150"/>
      <c r="AN27" s="151"/>
      <c r="AO27" s="151"/>
      <c r="AP27" s="152"/>
    </row>
    <row r="28" spans="1:42" ht="15.75" thickBot="1">
      <c r="A28" s="156" t="s">
        <v>34</v>
      </c>
      <c r="B28" s="157"/>
      <c r="C28" s="48">
        <f t="shared" ref="C28:H28" si="2">ROWS(C14:C27) - COUNTIF(C14:C27,"X")</f>
        <v>14</v>
      </c>
      <c r="D28" s="48">
        <f t="shared" si="2"/>
        <v>14</v>
      </c>
      <c r="E28" s="48">
        <f t="shared" si="2"/>
        <v>14</v>
      </c>
      <c r="F28" s="48">
        <f t="shared" si="2"/>
        <v>13</v>
      </c>
      <c r="G28" s="48">
        <f t="shared" si="2"/>
        <v>14</v>
      </c>
      <c r="H28" s="48">
        <f t="shared" si="2"/>
        <v>14</v>
      </c>
      <c r="I28" s="45"/>
      <c r="J28" s="48">
        <f t="shared" ref="J28:O28" si="3">ROWS(J14:J27) - COUNTIF(J14:J27,"X")</f>
        <v>14</v>
      </c>
      <c r="K28" s="48">
        <f t="shared" si="3"/>
        <v>14</v>
      </c>
      <c r="L28" s="48">
        <f t="shared" si="3"/>
        <v>14</v>
      </c>
      <c r="M28" s="48">
        <f t="shared" si="3"/>
        <v>14</v>
      </c>
      <c r="N28" s="48">
        <f t="shared" si="3"/>
        <v>14</v>
      </c>
      <c r="O28" s="48">
        <f t="shared" si="3"/>
        <v>14</v>
      </c>
      <c r="P28" s="45"/>
      <c r="Q28" s="48">
        <f t="shared" ref="Q28:V28" si="4">ROWS(Q14:Q27) - COUNTIF(Q14:Q27,"X")</f>
        <v>14</v>
      </c>
      <c r="R28" s="48">
        <f t="shared" si="4"/>
        <v>14</v>
      </c>
      <c r="S28" s="48">
        <f t="shared" si="4"/>
        <v>14</v>
      </c>
      <c r="T28" s="48">
        <f t="shared" si="4"/>
        <v>14</v>
      </c>
      <c r="U28" s="48">
        <f t="shared" si="4"/>
        <v>14</v>
      </c>
      <c r="V28" s="48">
        <f t="shared" si="4"/>
        <v>14</v>
      </c>
      <c r="W28" s="45"/>
      <c r="X28" s="48">
        <f t="shared" ref="X28:AC28" si="5">ROWS(X14:X27) - COUNTIF(X14:X27,"X")</f>
        <v>14</v>
      </c>
      <c r="Y28" s="48">
        <f t="shared" si="5"/>
        <v>14</v>
      </c>
      <c r="Z28" s="48">
        <f t="shared" si="5"/>
        <v>14</v>
      </c>
      <c r="AA28" s="48">
        <f t="shared" si="5"/>
        <v>14</v>
      </c>
      <c r="AB28" s="48">
        <f t="shared" si="5"/>
        <v>14</v>
      </c>
      <c r="AC28" s="48">
        <f t="shared" si="5"/>
        <v>14</v>
      </c>
      <c r="AD28" s="45"/>
      <c r="AE28" s="48"/>
      <c r="AF28" s="48"/>
      <c r="AG28" s="48"/>
      <c r="AH28" s="48"/>
      <c r="AI28" s="48"/>
      <c r="AJ28" s="48"/>
      <c r="AK28" s="47">
        <f>SUM(AK14:AK27)</f>
        <v>1</v>
      </c>
      <c r="AL28" s="47">
        <f>SUM(AL14:AL27)</f>
        <v>1</v>
      </c>
      <c r="AM28" s="141">
        <f>SUM(C28:AJ28)</f>
        <v>335</v>
      </c>
      <c r="AN28" s="141"/>
      <c r="AO28" s="141"/>
      <c r="AP28" s="142"/>
    </row>
    <row r="29" spans="1:42" ht="14.1" customHeight="1">
      <c r="A29" s="49">
        <v>1</v>
      </c>
      <c r="B29" s="51"/>
      <c r="C29" s="43"/>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43"/>
      <c r="AF29" s="43"/>
      <c r="AG29" s="43"/>
      <c r="AH29" s="43"/>
      <c r="AI29" s="43"/>
      <c r="AJ29" s="43"/>
      <c r="AK29" s="46">
        <f t="shared" ref="AK29:AK64" si="6">COUNTIF(D29:AJ29,"X")</f>
        <v>0</v>
      </c>
      <c r="AL29" s="46">
        <f t="shared" ref="AL29:AL64" si="7">COUNTIF(D29:AJ29,"T")</f>
        <v>0</v>
      </c>
      <c r="AM29" s="153"/>
      <c r="AN29" s="154"/>
      <c r="AO29" s="154"/>
      <c r="AP29" s="155"/>
    </row>
    <row r="30" spans="1:42" ht="14.1" customHeight="1">
      <c r="A30" s="42">
        <v>2</v>
      </c>
      <c r="B30" s="52"/>
      <c r="C30" s="43"/>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43"/>
      <c r="AF30" s="43"/>
      <c r="AG30" s="43"/>
      <c r="AH30" s="43"/>
      <c r="AI30" s="43"/>
      <c r="AJ30" s="43"/>
      <c r="AK30" s="46">
        <f t="shared" si="6"/>
        <v>0</v>
      </c>
      <c r="AL30" s="46">
        <f t="shared" si="7"/>
        <v>0</v>
      </c>
      <c r="AM30" s="150"/>
      <c r="AN30" s="151"/>
      <c r="AO30" s="151"/>
      <c r="AP30" s="152"/>
    </row>
    <row r="31" spans="1:42" ht="14.1" customHeight="1">
      <c r="A31" s="42">
        <v>3</v>
      </c>
      <c r="B31" s="52"/>
      <c r="C31" s="43"/>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43"/>
      <c r="AF31" s="43"/>
      <c r="AG31" s="43"/>
      <c r="AH31" s="43"/>
      <c r="AI31" s="43"/>
      <c r="AJ31" s="43"/>
      <c r="AK31" s="46">
        <f t="shared" si="6"/>
        <v>0</v>
      </c>
      <c r="AL31" s="46">
        <f t="shared" si="7"/>
        <v>0</v>
      </c>
      <c r="AM31" s="150"/>
      <c r="AN31" s="151"/>
      <c r="AO31" s="151"/>
      <c r="AP31" s="152"/>
    </row>
    <row r="32" spans="1:42" ht="14.1" customHeight="1">
      <c r="A32" s="42">
        <v>4</v>
      </c>
      <c r="B32" s="52"/>
      <c r="C32" s="43"/>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43"/>
      <c r="AF32" s="43"/>
      <c r="AG32" s="43"/>
      <c r="AH32" s="43"/>
      <c r="AI32" s="43"/>
      <c r="AJ32" s="43"/>
      <c r="AK32" s="46">
        <f t="shared" si="6"/>
        <v>0</v>
      </c>
      <c r="AL32" s="46">
        <f t="shared" si="7"/>
        <v>0</v>
      </c>
      <c r="AM32" s="150"/>
      <c r="AN32" s="151"/>
      <c r="AO32" s="151"/>
      <c r="AP32" s="152"/>
    </row>
    <row r="33" spans="1:42" ht="14.1" customHeight="1">
      <c r="A33" s="42">
        <v>5</v>
      </c>
      <c r="B33" s="52"/>
      <c r="C33" s="43"/>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43"/>
      <c r="AF33" s="43"/>
      <c r="AG33" s="43"/>
      <c r="AH33" s="43"/>
      <c r="AI33" s="43"/>
      <c r="AJ33" s="43"/>
      <c r="AK33" s="46">
        <f t="shared" si="6"/>
        <v>0</v>
      </c>
      <c r="AL33" s="46">
        <f t="shared" si="7"/>
        <v>0</v>
      </c>
      <c r="AM33" s="150"/>
      <c r="AN33" s="151"/>
      <c r="AO33" s="151"/>
      <c r="AP33" s="152"/>
    </row>
    <row r="34" spans="1:42" ht="14.1" customHeight="1">
      <c r="A34" s="42">
        <v>6</v>
      </c>
      <c r="B34" s="52"/>
      <c r="C34" s="43"/>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43"/>
      <c r="AF34" s="43"/>
      <c r="AG34" s="43"/>
      <c r="AH34" s="43"/>
      <c r="AI34" s="43"/>
      <c r="AJ34" s="43"/>
      <c r="AK34" s="46">
        <f t="shared" si="6"/>
        <v>0</v>
      </c>
      <c r="AL34" s="46">
        <f t="shared" si="7"/>
        <v>0</v>
      </c>
      <c r="AM34" s="150"/>
      <c r="AN34" s="151"/>
      <c r="AO34" s="151"/>
      <c r="AP34" s="152"/>
    </row>
    <row r="35" spans="1:42" ht="14.1" customHeight="1">
      <c r="A35" s="42">
        <v>7</v>
      </c>
      <c r="B35" s="52"/>
      <c r="C35" s="43"/>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43"/>
      <c r="AF35" s="43"/>
      <c r="AG35" s="43"/>
      <c r="AH35" s="43"/>
      <c r="AI35" s="43"/>
      <c r="AJ35" s="43"/>
      <c r="AK35" s="46">
        <f t="shared" si="6"/>
        <v>0</v>
      </c>
      <c r="AL35" s="46">
        <f t="shared" si="7"/>
        <v>0</v>
      </c>
      <c r="AM35" s="150"/>
      <c r="AN35" s="151"/>
      <c r="AO35" s="151"/>
      <c r="AP35" s="152"/>
    </row>
    <row r="36" spans="1:42" ht="14.1" customHeight="1">
      <c r="A36" s="42">
        <v>8</v>
      </c>
      <c r="B36" s="52"/>
      <c r="C36" s="43"/>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43"/>
      <c r="AF36" s="43"/>
      <c r="AG36" s="43"/>
      <c r="AH36" s="43"/>
      <c r="AI36" s="43"/>
      <c r="AJ36" s="43"/>
      <c r="AK36" s="46">
        <f t="shared" si="6"/>
        <v>0</v>
      </c>
      <c r="AL36" s="46">
        <f t="shared" si="7"/>
        <v>0</v>
      </c>
      <c r="AM36" s="150"/>
      <c r="AN36" s="151"/>
      <c r="AO36" s="151"/>
      <c r="AP36" s="152"/>
    </row>
    <row r="37" spans="1:42" ht="14.1" customHeight="1">
      <c r="A37" s="42">
        <v>9</v>
      </c>
      <c r="B37" s="52"/>
      <c r="C37" s="43"/>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43"/>
      <c r="AF37" s="43"/>
      <c r="AG37" s="43"/>
      <c r="AH37" s="43"/>
      <c r="AI37" s="43"/>
      <c r="AJ37" s="43"/>
      <c r="AK37" s="46">
        <f t="shared" si="6"/>
        <v>0</v>
      </c>
      <c r="AL37" s="46">
        <f t="shared" si="7"/>
        <v>0</v>
      </c>
      <c r="AM37" s="150"/>
      <c r="AN37" s="151"/>
      <c r="AO37" s="151"/>
      <c r="AP37" s="152"/>
    </row>
    <row r="38" spans="1:42" ht="14.1" customHeight="1">
      <c r="A38" s="42">
        <v>10</v>
      </c>
      <c r="B38" s="52"/>
      <c r="C38" s="43"/>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43"/>
      <c r="AF38" s="43"/>
      <c r="AG38" s="43"/>
      <c r="AH38" s="43"/>
      <c r="AI38" s="43"/>
      <c r="AJ38" s="43"/>
      <c r="AK38" s="46">
        <f t="shared" si="6"/>
        <v>0</v>
      </c>
      <c r="AL38" s="46">
        <f t="shared" si="7"/>
        <v>0</v>
      </c>
      <c r="AM38" s="150"/>
      <c r="AN38" s="151"/>
      <c r="AO38" s="151"/>
      <c r="AP38" s="152"/>
    </row>
    <row r="39" spans="1:42" ht="14.1" customHeight="1">
      <c r="A39" s="42">
        <v>11</v>
      </c>
      <c r="B39" s="52"/>
      <c r="C39" s="43"/>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43"/>
      <c r="AF39" s="43"/>
      <c r="AG39" s="43"/>
      <c r="AH39" s="43"/>
      <c r="AI39" s="43"/>
      <c r="AJ39" s="43"/>
      <c r="AK39" s="46">
        <f t="shared" si="6"/>
        <v>0</v>
      </c>
      <c r="AL39" s="46">
        <f t="shared" si="7"/>
        <v>0</v>
      </c>
      <c r="AM39" s="150"/>
      <c r="AN39" s="151"/>
      <c r="AO39" s="151"/>
      <c r="AP39" s="152"/>
    </row>
    <row r="40" spans="1:42" ht="14.1" customHeight="1">
      <c r="A40" s="42">
        <v>12</v>
      </c>
      <c r="B40" s="52"/>
      <c r="C40" s="43"/>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43"/>
      <c r="AF40" s="43"/>
      <c r="AG40" s="43"/>
      <c r="AH40" s="43"/>
      <c r="AI40" s="43"/>
      <c r="AJ40" s="43"/>
      <c r="AK40" s="46">
        <f t="shared" si="6"/>
        <v>0</v>
      </c>
      <c r="AL40" s="46">
        <f t="shared" si="7"/>
        <v>0</v>
      </c>
      <c r="AM40" s="150"/>
      <c r="AN40" s="151"/>
      <c r="AO40" s="151"/>
      <c r="AP40" s="152"/>
    </row>
    <row r="41" spans="1:42" ht="14.1" customHeight="1">
      <c r="A41" s="42">
        <v>13</v>
      </c>
      <c r="B41" s="52"/>
      <c r="C41" s="43"/>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43"/>
      <c r="AF41" s="43"/>
      <c r="AG41" s="43"/>
      <c r="AH41" s="43"/>
      <c r="AI41" s="43"/>
      <c r="AJ41" s="43"/>
      <c r="AK41" s="46">
        <f t="shared" si="6"/>
        <v>0</v>
      </c>
      <c r="AL41" s="46">
        <f t="shared" si="7"/>
        <v>0</v>
      </c>
      <c r="AM41" s="150"/>
      <c r="AN41" s="151"/>
      <c r="AO41" s="151"/>
      <c r="AP41" s="152"/>
    </row>
    <row r="42" spans="1:42" ht="14.1" customHeight="1">
      <c r="A42" s="42">
        <v>14</v>
      </c>
      <c r="B42" s="52"/>
      <c r="C42" s="43"/>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43"/>
      <c r="AF42" s="43"/>
      <c r="AG42" s="43"/>
      <c r="AH42" s="43"/>
      <c r="AI42" s="43"/>
      <c r="AJ42" s="43"/>
      <c r="AK42" s="46">
        <f t="shared" si="6"/>
        <v>0</v>
      </c>
      <c r="AL42" s="46">
        <f t="shared" si="7"/>
        <v>0</v>
      </c>
      <c r="AM42" s="150"/>
      <c r="AN42" s="151"/>
      <c r="AO42" s="151"/>
      <c r="AP42" s="152"/>
    </row>
    <row r="43" spans="1:42" ht="14.1" customHeight="1">
      <c r="A43" s="42">
        <v>15</v>
      </c>
      <c r="B43" s="52"/>
      <c r="C43" s="43"/>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43"/>
      <c r="AF43" s="43"/>
      <c r="AG43" s="43"/>
      <c r="AH43" s="43"/>
      <c r="AI43" s="43"/>
      <c r="AJ43" s="43"/>
      <c r="AK43" s="46">
        <f t="shared" si="6"/>
        <v>0</v>
      </c>
      <c r="AL43" s="46">
        <f t="shared" si="7"/>
        <v>0</v>
      </c>
      <c r="AM43" s="150"/>
      <c r="AN43" s="151"/>
      <c r="AO43" s="151"/>
      <c r="AP43" s="152"/>
    </row>
    <row r="44" spans="1:42" ht="14.1" customHeight="1">
      <c r="A44" s="42">
        <v>16</v>
      </c>
      <c r="B44" s="52"/>
      <c r="C44" s="43"/>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43"/>
      <c r="AF44" s="43"/>
      <c r="AG44" s="43"/>
      <c r="AH44" s="43"/>
      <c r="AI44" s="43"/>
      <c r="AJ44" s="43"/>
      <c r="AK44" s="46">
        <f t="shared" si="6"/>
        <v>0</v>
      </c>
      <c r="AL44" s="46">
        <f t="shared" si="7"/>
        <v>0</v>
      </c>
      <c r="AM44" s="150"/>
      <c r="AN44" s="151"/>
      <c r="AO44" s="151"/>
      <c r="AP44" s="152"/>
    </row>
    <row r="45" spans="1:42" ht="14.1" customHeight="1">
      <c r="A45" s="42">
        <v>17</v>
      </c>
      <c r="B45" s="52"/>
      <c r="C45" s="43"/>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43"/>
      <c r="AF45" s="43"/>
      <c r="AG45" s="43"/>
      <c r="AH45" s="43"/>
      <c r="AI45" s="43"/>
      <c r="AJ45" s="43"/>
      <c r="AK45" s="46">
        <f t="shared" si="6"/>
        <v>0</v>
      </c>
      <c r="AL45" s="46">
        <f t="shared" si="7"/>
        <v>0</v>
      </c>
      <c r="AM45" s="150"/>
      <c r="AN45" s="151"/>
      <c r="AO45" s="151"/>
      <c r="AP45" s="152"/>
    </row>
    <row r="46" spans="1:42" ht="14.1" customHeight="1">
      <c r="A46" s="42">
        <v>18</v>
      </c>
      <c r="B46" s="52"/>
      <c r="C46" s="43"/>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43"/>
      <c r="AF46" s="43"/>
      <c r="AG46" s="43"/>
      <c r="AH46" s="43"/>
      <c r="AI46" s="43"/>
      <c r="AJ46" s="43"/>
      <c r="AK46" s="46">
        <f t="shared" si="6"/>
        <v>0</v>
      </c>
      <c r="AL46" s="46">
        <f t="shared" si="7"/>
        <v>0</v>
      </c>
      <c r="AM46" s="150"/>
      <c r="AN46" s="151"/>
      <c r="AO46" s="151"/>
      <c r="AP46" s="152"/>
    </row>
    <row r="47" spans="1:42" ht="14.1" customHeight="1">
      <c r="A47" s="42">
        <v>19</v>
      </c>
      <c r="B47" s="56"/>
      <c r="C47" s="43"/>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43"/>
      <c r="AF47" s="43"/>
      <c r="AG47" s="43"/>
      <c r="AH47" s="43"/>
      <c r="AI47" s="43"/>
      <c r="AJ47" s="43"/>
      <c r="AK47" s="46">
        <f t="shared" si="6"/>
        <v>0</v>
      </c>
      <c r="AL47" s="46">
        <f t="shared" si="7"/>
        <v>0</v>
      </c>
      <c r="AM47" s="150"/>
      <c r="AN47" s="151"/>
      <c r="AO47" s="151"/>
      <c r="AP47" s="152"/>
    </row>
    <row r="48" spans="1:42" ht="14.1" customHeight="1">
      <c r="A48" s="42">
        <v>20</v>
      </c>
      <c r="B48" s="52"/>
      <c r="C48" s="43"/>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43"/>
      <c r="AF48" s="43"/>
      <c r="AG48" s="43"/>
      <c r="AH48" s="43"/>
      <c r="AI48" s="43"/>
      <c r="AJ48" s="43"/>
      <c r="AK48" s="46">
        <f t="shared" si="6"/>
        <v>0</v>
      </c>
      <c r="AL48" s="46">
        <f t="shared" si="7"/>
        <v>0</v>
      </c>
      <c r="AM48" s="150"/>
      <c r="AN48" s="151"/>
      <c r="AO48" s="151"/>
      <c r="AP48" s="152"/>
    </row>
    <row r="49" spans="1:42" ht="14.1" customHeight="1">
      <c r="A49" s="42">
        <v>21</v>
      </c>
      <c r="B49" s="52"/>
      <c r="C49" s="43"/>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43"/>
      <c r="AF49" s="43"/>
      <c r="AG49" s="43"/>
      <c r="AH49" s="43"/>
      <c r="AI49" s="43"/>
      <c r="AJ49" s="43"/>
      <c r="AK49" s="46">
        <f t="shared" si="6"/>
        <v>0</v>
      </c>
      <c r="AL49" s="46">
        <f t="shared" si="7"/>
        <v>0</v>
      </c>
      <c r="AM49" s="150"/>
      <c r="AN49" s="151"/>
      <c r="AO49" s="151"/>
      <c r="AP49" s="152"/>
    </row>
    <row r="50" spans="1:42" ht="14.1" customHeight="1">
      <c r="A50" s="42">
        <v>22</v>
      </c>
      <c r="B50" s="52"/>
      <c r="C50" s="43"/>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43"/>
      <c r="AF50" s="43"/>
      <c r="AG50" s="43"/>
      <c r="AH50" s="43"/>
      <c r="AI50" s="43"/>
      <c r="AJ50" s="43"/>
      <c r="AK50" s="46">
        <f t="shared" si="6"/>
        <v>0</v>
      </c>
      <c r="AL50" s="46">
        <f t="shared" si="7"/>
        <v>0</v>
      </c>
      <c r="AM50" s="39"/>
      <c r="AN50" s="40"/>
      <c r="AO50" s="40"/>
      <c r="AP50" s="41"/>
    </row>
    <row r="51" spans="1:42" ht="14.1" customHeight="1">
      <c r="A51" s="42">
        <v>23</v>
      </c>
      <c r="B51" s="52"/>
      <c r="C51" s="43"/>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43"/>
      <c r="AF51" s="43"/>
      <c r="AG51" s="43"/>
      <c r="AH51" s="43"/>
      <c r="AI51" s="43"/>
      <c r="AJ51" s="43"/>
      <c r="AK51" s="46">
        <f t="shared" si="6"/>
        <v>0</v>
      </c>
      <c r="AL51" s="46">
        <f t="shared" si="7"/>
        <v>0</v>
      </c>
      <c r="AM51" s="39"/>
      <c r="AN51" s="40"/>
      <c r="AO51" s="40"/>
      <c r="AP51" s="41"/>
    </row>
    <row r="52" spans="1:42" ht="14.1" customHeight="1">
      <c r="A52" s="42">
        <v>24</v>
      </c>
      <c r="B52" s="52"/>
      <c r="C52" s="43"/>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43"/>
      <c r="AF52" s="43"/>
      <c r="AG52" s="43"/>
      <c r="AH52" s="43"/>
      <c r="AI52" s="43"/>
      <c r="AJ52" s="43"/>
      <c r="AK52" s="46">
        <f t="shared" si="6"/>
        <v>0</v>
      </c>
      <c r="AL52" s="46">
        <f t="shared" si="7"/>
        <v>0</v>
      </c>
      <c r="AM52" s="39"/>
      <c r="AN52" s="40"/>
      <c r="AO52" s="40"/>
      <c r="AP52" s="41"/>
    </row>
    <row r="53" spans="1:42" ht="14.1" customHeight="1">
      <c r="A53" s="42">
        <v>25</v>
      </c>
      <c r="B53" s="52"/>
      <c r="C53" s="43"/>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43"/>
      <c r="AF53" s="43"/>
      <c r="AG53" s="43"/>
      <c r="AH53" s="43"/>
      <c r="AI53" s="43"/>
      <c r="AJ53" s="43"/>
      <c r="AK53" s="46">
        <f t="shared" si="6"/>
        <v>0</v>
      </c>
      <c r="AL53" s="46">
        <f t="shared" si="7"/>
        <v>0</v>
      </c>
      <c r="AM53" s="39"/>
      <c r="AN53" s="40"/>
      <c r="AO53" s="40"/>
      <c r="AP53" s="41"/>
    </row>
    <row r="54" spans="1:42" ht="14.1" customHeight="1">
      <c r="A54" s="42">
        <v>26</v>
      </c>
      <c r="B54" s="52"/>
      <c r="C54" s="43"/>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43"/>
      <c r="AF54" s="43"/>
      <c r="AG54" s="43"/>
      <c r="AH54" s="43"/>
      <c r="AI54" s="43"/>
      <c r="AJ54" s="43"/>
      <c r="AK54" s="46">
        <f t="shared" si="6"/>
        <v>0</v>
      </c>
      <c r="AL54" s="46">
        <f t="shared" si="7"/>
        <v>0</v>
      </c>
      <c r="AM54" s="39"/>
      <c r="AN54" s="40"/>
      <c r="AO54" s="40"/>
      <c r="AP54" s="41"/>
    </row>
    <row r="55" spans="1:42" ht="14.1" customHeight="1">
      <c r="A55" s="42">
        <v>27</v>
      </c>
      <c r="B55" s="52"/>
      <c r="C55" s="43"/>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43"/>
      <c r="AF55" s="43"/>
      <c r="AG55" s="43"/>
      <c r="AH55" s="43"/>
      <c r="AI55" s="43"/>
      <c r="AJ55" s="43"/>
      <c r="AK55" s="46">
        <f t="shared" si="6"/>
        <v>0</v>
      </c>
      <c r="AL55" s="46">
        <f t="shared" si="7"/>
        <v>0</v>
      </c>
      <c r="AM55" s="39"/>
      <c r="AN55" s="40"/>
      <c r="AO55" s="40"/>
      <c r="AP55" s="41"/>
    </row>
    <row r="56" spans="1:42" ht="14.1" customHeight="1">
      <c r="A56" s="42">
        <v>28</v>
      </c>
      <c r="B56" s="52"/>
      <c r="C56" s="43"/>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43"/>
      <c r="AF56" s="43"/>
      <c r="AG56" s="43"/>
      <c r="AH56" s="43"/>
      <c r="AI56" s="43"/>
      <c r="AJ56" s="43"/>
      <c r="AK56" s="46">
        <f t="shared" si="6"/>
        <v>0</v>
      </c>
      <c r="AL56" s="46">
        <f t="shared" si="7"/>
        <v>0</v>
      </c>
      <c r="AM56" s="39"/>
      <c r="AN56" s="40"/>
      <c r="AO56" s="40"/>
      <c r="AP56" s="41"/>
    </row>
    <row r="57" spans="1:42" ht="14.1" customHeight="1">
      <c r="A57" s="42">
        <v>29</v>
      </c>
      <c r="B57" s="52"/>
      <c r="C57" s="43"/>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43"/>
      <c r="AF57" s="43"/>
      <c r="AG57" s="43"/>
      <c r="AH57" s="43"/>
      <c r="AI57" s="43"/>
      <c r="AJ57" s="43"/>
      <c r="AK57" s="46">
        <f t="shared" si="6"/>
        <v>0</v>
      </c>
      <c r="AL57" s="46">
        <f t="shared" si="7"/>
        <v>0</v>
      </c>
      <c r="AM57" s="39"/>
      <c r="AN57" s="40"/>
      <c r="AO57" s="40"/>
      <c r="AP57" s="41"/>
    </row>
    <row r="58" spans="1:42" ht="14.1" customHeight="1">
      <c r="A58" s="42">
        <v>30</v>
      </c>
      <c r="B58" s="52"/>
      <c r="C58" s="43"/>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43"/>
      <c r="AF58" s="43"/>
      <c r="AG58" s="43"/>
      <c r="AH58" s="43"/>
      <c r="AI58" s="43"/>
      <c r="AJ58" s="43"/>
      <c r="AK58" s="46">
        <f t="shared" si="6"/>
        <v>0</v>
      </c>
      <c r="AL58" s="46">
        <f t="shared" si="7"/>
        <v>0</v>
      </c>
      <c r="AM58" s="39"/>
      <c r="AN58" s="40"/>
      <c r="AO58" s="40"/>
      <c r="AP58" s="41"/>
    </row>
    <row r="59" spans="1:42" ht="14.1" customHeight="1">
      <c r="A59" s="42">
        <v>31</v>
      </c>
      <c r="B59" s="52"/>
      <c r="C59" s="43"/>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43"/>
      <c r="AF59" s="43"/>
      <c r="AG59" s="43"/>
      <c r="AH59" s="43"/>
      <c r="AI59" s="43"/>
      <c r="AJ59" s="43"/>
      <c r="AK59" s="46">
        <f t="shared" si="6"/>
        <v>0</v>
      </c>
      <c r="AL59" s="46">
        <f t="shared" si="7"/>
        <v>0</v>
      </c>
      <c r="AM59" s="39"/>
      <c r="AN59" s="40"/>
      <c r="AO59" s="40"/>
      <c r="AP59" s="41"/>
    </row>
    <row r="60" spans="1:42" ht="14.1" customHeight="1">
      <c r="A60" s="42">
        <v>32</v>
      </c>
      <c r="B60" s="52"/>
      <c r="C60" s="43"/>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43"/>
      <c r="AF60" s="43"/>
      <c r="AG60" s="43"/>
      <c r="AH60" s="43"/>
      <c r="AI60" s="43"/>
      <c r="AJ60" s="43"/>
      <c r="AK60" s="46">
        <f t="shared" si="6"/>
        <v>0</v>
      </c>
      <c r="AL60" s="46">
        <f t="shared" si="7"/>
        <v>0</v>
      </c>
      <c r="AM60" s="39"/>
      <c r="AN60" s="40"/>
      <c r="AO60" s="40"/>
      <c r="AP60" s="41"/>
    </row>
    <row r="61" spans="1:42" ht="14.1" customHeight="1">
      <c r="A61" s="42">
        <v>33</v>
      </c>
      <c r="B61" s="52"/>
      <c r="C61" s="43"/>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43"/>
      <c r="AF61" s="43"/>
      <c r="AG61" s="43"/>
      <c r="AH61" s="43"/>
      <c r="AI61" s="43"/>
      <c r="AJ61" s="43"/>
      <c r="AK61" s="46">
        <f t="shared" si="6"/>
        <v>0</v>
      </c>
      <c r="AL61" s="46">
        <f t="shared" si="7"/>
        <v>0</v>
      </c>
      <c r="AM61" s="39"/>
      <c r="AN61" s="40"/>
      <c r="AO61" s="40"/>
      <c r="AP61" s="41"/>
    </row>
    <row r="62" spans="1:42" ht="14.1" customHeight="1">
      <c r="A62" s="42">
        <v>34</v>
      </c>
      <c r="B62" s="56"/>
      <c r="C62" s="43"/>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43"/>
      <c r="AF62" s="43"/>
      <c r="AG62" s="43"/>
      <c r="AH62" s="43"/>
      <c r="AI62" s="43"/>
      <c r="AJ62" s="43"/>
      <c r="AK62" s="46">
        <f t="shared" si="6"/>
        <v>0</v>
      </c>
      <c r="AL62" s="46">
        <f t="shared" si="7"/>
        <v>0</v>
      </c>
      <c r="AM62" s="39"/>
      <c r="AN62" s="40"/>
      <c r="AO62" s="40"/>
      <c r="AP62" s="41"/>
    </row>
    <row r="63" spans="1:42" ht="14.1" customHeight="1">
      <c r="A63" s="42">
        <v>35</v>
      </c>
      <c r="B63" s="52"/>
      <c r="C63" s="43"/>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43"/>
      <c r="AF63" s="43"/>
      <c r="AG63" s="43"/>
      <c r="AH63" s="43"/>
      <c r="AI63" s="43"/>
      <c r="AJ63" s="43"/>
      <c r="AK63" s="46">
        <f t="shared" si="6"/>
        <v>0</v>
      </c>
      <c r="AL63" s="46">
        <f t="shared" si="7"/>
        <v>0</v>
      </c>
      <c r="AM63" s="150"/>
      <c r="AN63" s="151"/>
      <c r="AO63" s="151"/>
      <c r="AP63" s="152"/>
    </row>
    <row r="64" spans="1:42" ht="14.1" customHeight="1" thickBot="1">
      <c r="A64" s="50">
        <v>36</v>
      </c>
      <c r="B64" s="57"/>
      <c r="C64" s="43"/>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43"/>
      <c r="AF64" s="43"/>
      <c r="AG64" s="43"/>
      <c r="AH64" s="43"/>
      <c r="AI64" s="43"/>
      <c r="AJ64" s="43"/>
      <c r="AK64" s="46">
        <f t="shared" si="6"/>
        <v>0</v>
      </c>
      <c r="AL64" s="46">
        <f t="shared" si="7"/>
        <v>0</v>
      </c>
      <c r="AM64" s="150"/>
      <c r="AN64" s="151"/>
      <c r="AO64" s="151"/>
      <c r="AP64" s="152"/>
    </row>
    <row r="65" spans="1:42" ht="15.75" thickBot="1">
      <c r="A65" s="139" t="s">
        <v>35</v>
      </c>
      <c r="B65" s="140"/>
      <c r="C65" s="48">
        <f t="shared" ref="C65:H65" si="8">ROWS(C29:C64) - COUNTIF(C29:C64,"X")</f>
        <v>36</v>
      </c>
      <c r="D65" s="48">
        <f t="shared" si="8"/>
        <v>36</v>
      </c>
      <c r="E65" s="48">
        <f t="shared" si="8"/>
        <v>36</v>
      </c>
      <c r="F65" s="48">
        <f t="shared" si="8"/>
        <v>36</v>
      </c>
      <c r="G65" s="48">
        <f t="shared" si="8"/>
        <v>36</v>
      </c>
      <c r="H65" s="48">
        <f t="shared" si="8"/>
        <v>36</v>
      </c>
      <c r="I65" s="45">
        <f t="shared" ref="I65:AD65" si="9">COUNTIF(I29:I64,"X")</f>
        <v>0</v>
      </c>
      <c r="J65" s="48">
        <f t="shared" ref="J65:O65" si="10">ROWS(J29:J64) - COUNTIF(J29:J64,"X")</f>
        <v>36</v>
      </c>
      <c r="K65" s="48">
        <f t="shared" si="10"/>
        <v>36</v>
      </c>
      <c r="L65" s="48">
        <f t="shared" si="10"/>
        <v>36</v>
      </c>
      <c r="M65" s="48">
        <f t="shared" si="10"/>
        <v>36</v>
      </c>
      <c r="N65" s="48">
        <f t="shared" si="10"/>
        <v>36</v>
      </c>
      <c r="O65" s="48">
        <f t="shared" si="10"/>
        <v>36</v>
      </c>
      <c r="P65" s="45">
        <f t="shared" si="9"/>
        <v>0</v>
      </c>
      <c r="Q65" s="48">
        <f t="shared" ref="Q65:V65" si="11">ROWS(Q29:Q64) - COUNTIF(Q29:Q64,"X")</f>
        <v>36</v>
      </c>
      <c r="R65" s="48">
        <f t="shared" si="11"/>
        <v>36</v>
      </c>
      <c r="S65" s="48">
        <f t="shared" si="11"/>
        <v>36</v>
      </c>
      <c r="T65" s="48">
        <f t="shared" si="11"/>
        <v>36</v>
      </c>
      <c r="U65" s="48">
        <f t="shared" si="11"/>
        <v>36</v>
      </c>
      <c r="V65" s="48">
        <f t="shared" si="11"/>
        <v>36</v>
      </c>
      <c r="W65" s="45">
        <f t="shared" si="9"/>
        <v>0</v>
      </c>
      <c r="X65" s="48">
        <f t="shared" ref="X65:AC65" si="12">ROWS(X29:X64) - COUNTIF(X29:X64,"X")</f>
        <v>36</v>
      </c>
      <c r="Y65" s="48">
        <f t="shared" si="12"/>
        <v>36</v>
      </c>
      <c r="Z65" s="48">
        <f t="shared" si="12"/>
        <v>36</v>
      </c>
      <c r="AA65" s="48">
        <f t="shared" si="12"/>
        <v>36</v>
      </c>
      <c r="AB65" s="48">
        <f t="shared" si="12"/>
        <v>36</v>
      </c>
      <c r="AC65" s="48">
        <f t="shared" si="12"/>
        <v>36</v>
      </c>
      <c r="AD65" s="45">
        <f t="shared" si="9"/>
        <v>0</v>
      </c>
      <c r="AE65" s="48"/>
      <c r="AF65" s="48"/>
      <c r="AG65" s="48"/>
      <c r="AH65" s="48"/>
      <c r="AI65" s="48"/>
      <c r="AJ65" s="48"/>
      <c r="AK65" s="47">
        <f>SUM(AK29:AK64)</f>
        <v>0</v>
      </c>
      <c r="AL65" s="47">
        <f>SUM(AL29:AL64)</f>
        <v>0</v>
      </c>
      <c r="AM65" s="141">
        <f>SUM(C65:AJ65)</f>
        <v>864</v>
      </c>
      <c r="AN65" s="141"/>
      <c r="AO65" s="141"/>
      <c r="AP65" s="142"/>
    </row>
    <row r="66" spans="1:42" ht="15" customHeight="1" thickBot="1">
      <c r="A66" s="139" t="s">
        <v>36</v>
      </c>
      <c r="B66" s="140"/>
      <c r="C66" s="44">
        <f t="shared" ref="C66:E66" si="13">SUM(C28,C65)</f>
        <v>50</v>
      </c>
      <c r="D66" s="44">
        <f t="shared" si="13"/>
        <v>50</v>
      </c>
      <c r="E66" s="44">
        <f t="shared" si="13"/>
        <v>50</v>
      </c>
      <c r="F66" s="44">
        <f>SUM(F28,F65)</f>
        <v>49</v>
      </c>
      <c r="G66" s="44">
        <f>SUM(G28,G65)</f>
        <v>50</v>
      </c>
      <c r="H66" s="44">
        <f>SUM(H28,H65)</f>
        <v>50</v>
      </c>
      <c r="I66" s="21"/>
      <c r="J66" s="44">
        <f t="shared" ref="J66:O66" si="14">SUM(J28,J65)</f>
        <v>50</v>
      </c>
      <c r="K66" s="44">
        <f t="shared" si="14"/>
        <v>50</v>
      </c>
      <c r="L66" s="44">
        <f t="shared" si="14"/>
        <v>50</v>
      </c>
      <c r="M66" s="44">
        <f t="shared" si="14"/>
        <v>50</v>
      </c>
      <c r="N66" s="44">
        <f t="shared" si="14"/>
        <v>50</v>
      </c>
      <c r="O66" s="44">
        <f t="shared" si="14"/>
        <v>50</v>
      </c>
      <c r="P66" s="21"/>
      <c r="Q66" s="44">
        <f t="shared" ref="Q66:V66" si="15">SUM(Q28,Q65)</f>
        <v>50</v>
      </c>
      <c r="R66" s="44">
        <f t="shared" si="15"/>
        <v>50</v>
      </c>
      <c r="S66" s="44">
        <f t="shared" si="15"/>
        <v>50</v>
      </c>
      <c r="T66" s="44">
        <f t="shared" si="15"/>
        <v>50</v>
      </c>
      <c r="U66" s="44">
        <f t="shared" si="15"/>
        <v>50</v>
      </c>
      <c r="V66" s="44">
        <f t="shared" si="15"/>
        <v>50</v>
      </c>
      <c r="W66" s="21"/>
      <c r="X66" s="44">
        <f t="shared" ref="X66:AC66" si="16">SUM(X28,X65)</f>
        <v>50</v>
      </c>
      <c r="Y66" s="44">
        <f t="shared" si="16"/>
        <v>50</v>
      </c>
      <c r="Z66" s="44">
        <f t="shared" si="16"/>
        <v>50</v>
      </c>
      <c r="AA66" s="44">
        <f t="shared" si="16"/>
        <v>50</v>
      </c>
      <c r="AB66" s="44">
        <f t="shared" si="16"/>
        <v>50</v>
      </c>
      <c r="AC66" s="44">
        <f t="shared" si="16"/>
        <v>50</v>
      </c>
      <c r="AD66" s="21"/>
      <c r="AE66" s="44"/>
      <c r="AF66" s="44"/>
      <c r="AG66" s="44"/>
      <c r="AH66" s="44"/>
      <c r="AI66" s="44"/>
      <c r="AJ66" s="44"/>
      <c r="AK66" s="47">
        <f>SUM(AK28,AK65)</f>
        <v>1</v>
      </c>
      <c r="AL66" s="47">
        <f t="shared" ref="AL66" si="17">SUM(AL28,AL65)</f>
        <v>1</v>
      </c>
      <c r="AM66" s="141">
        <f>SUM(C66:AJ66)</f>
        <v>1199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95</v>
      </c>
      <c r="AL69" s="134">
        <v>24</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4">
    <mergeCell ref="B12:B13"/>
    <mergeCell ref="A10:A13"/>
    <mergeCell ref="B10:B11"/>
    <mergeCell ref="AL69:AM69"/>
    <mergeCell ref="AK70:AM70"/>
    <mergeCell ref="AM27:AP27"/>
    <mergeCell ref="AM28:AP28"/>
    <mergeCell ref="AM29:AP29"/>
    <mergeCell ref="AM30:AP30"/>
    <mergeCell ref="AM31:AP31"/>
    <mergeCell ref="AM32:AP32"/>
    <mergeCell ref="AM33:AP33"/>
    <mergeCell ref="AM34:AP34"/>
    <mergeCell ref="AM35:AP35"/>
    <mergeCell ref="AM36:AP36"/>
    <mergeCell ref="AM37:AP37"/>
    <mergeCell ref="AM38:AP38"/>
    <mergeCell ref="AM39:AP39"/>
    <mergeCell ref="AM40:AP40"/>
    <mergeCell ref="AM41:AP41"/>
    <mergeCell ref="C10:AJ11"/>
    <mergeCell ref="AK10:AL12"/>
    <mergeCell ref="AM10:AP10"/>
    <mergeCell ref="AM11:AP11"/>
    <mergeCell ref="AM12:AP12"/>
    <mergeCell ref="AM13:AP13"/>
    <mergeCell ref="AM15:AP15"/>
    <mergeCell ref="AM16:AP16"/>
    <mergeCell ref="AM17:AP17"/>
    <mergeCell ref="T69:AG70"/>
    <mergeCell ref="A70:R70"/>
    <mergeCell ref="D72:L72"/>
    <mergeCell ref="D73:L73"/>
    <mergeCell ref="D74:L74"/>
    <mergeCell ref="D76:L76"/>
    <mergeCell ref="D71:L71"/>
    <mergeCell ref="AK71:AM71"/>
    <mergeCell ref="AM14:AP14"/>
    <mergeCell ref="AM18:AP18"/>
    <mergeCell ref="AM19:AP19"/>
    <mergeCell ref="AM20:AP20"/>
    <mergeCell ref="AM21:AP21"/>
    <mergeCell ref="AM22:AP22"/>
    <mergeCell ref="AM23:AP23"/>
    <mergeCell ref="AM24:AP24"/>
    <mergeCell ref="AM25:AP25"/>
    <mergeCell ref="A28:B28"/>
    <mergeCell ref="T95:AG95"/>
    <mergeCell ref="T96:AG96"/>
    <mergeCell ref="T97:AG97"/>
    <mergeCell ref="T90:AG90"/>
    <mergeCell ref="T91:AG91"/>
    <mergeCell ref="T78:AG81"/>
    <mergeCell ref="T93:AG93"/>
    <mergeCell ref="T94:AG94"/>
    <mergeCell ref="T82:AG82"/>
    <mergeCell ref="T83:AG85"/>
    <mergeCell ref="T86:AG86"/>
    <mergeCell ref="T87:AG89"/>
    <mergeCell ref="A2:AP2"/>
    <mergeCell ref="D4:M4"/>
    <mergeCell ref="AC4:AK4"/>
    <mergeCell ref="AL4:AM4"/>
    <mergeCell ref="AN4:AP4"/>
    <mergeCell ref="D6:M6"/>
    <mergeCell ref="AL6:AP6"/>
    <mergeCell ref="D8:M8"/>
    <mergeCell ref="N8:R8"/>
    <mergeCell ref="S8:AJ8"/>
    <mergeCell ref="AL8:AP8"/>
    <mergeCell ref="N6:R6"/>
    <mergeCell ref="S6:W6"/>
    <mergeCell ref="X6:AA6"/>
    <mergeCell ref="AB6:AE6"/>
    <mergeCell ref="N4:R4"/>
    <mergeCell ref="S4:W4"/>
    <mergeCell ref="Z4:AB4"/>
    <mergeCell ref="AM42:AP42"/>
    <mergeCell ref="AM43:AP43"/>
    <mergeCell ref="AM44:AP44"/>
    <mergeCell ref="AM45:AP45"/>
    <mergeCell ref="AM46:AP46"/>
    <mergeCell ref="AM47:AP47"/>
    <mergeCell ref="AM48:AP48"/>
    <mergeCell ref="AM49:AP49"/>
    <mergeCell ref="AM63:AP63"/>
    <mergeCell ref="AK85:AP85"/>
    <mergeCell ref="AK86:AP86"/>
    <mergeCell ref="AK91:AP91"/>
    <mergeCell ref="AK92:AP92"/>
    <mergeCell ref="AK72:AM72"/>
    <mergeCell ref="AK73:AM73"/>
    <mergeCell ref="AK74:AM74"/>
    <mergeCell ref="AK75:AM75"/>
    <mergeCell ref="AK76:AM76"/>
    <mergeCell ref="AK78:AM78"/>
    <mergeCell ref="AK79:AM79"/>
    <mergeCell ref="AK80:AM80"/>
    <mergeCell ref="AK81:AM81"/>
    <mergeCell ref="AK82:AM82"/>
    <mergeCell ref="A79:R79"/>
    <mergeCell ref="A80:R80"/>
    <mergeCell ref="M76:N77"/>
    <mergeCell ref="T77:AG77"/>
    <mergeCell ref="D77:L77"/>
    <mergeCell ref="AK77:AP77"/>
    <mergeCell ref="AM64:AP64"/>
    <mergeCell ref="AM65:AP65"/>
    <mergeCell ref="AM66:AP66"/>
    <mergeCell ref="AL68:AM68"/>
    <mergeCell ref="AN68:AP68"/>
    <mergeCell ref="B73:B74"/>
    <mergeCell ref="M73:N74"/>
    <mergeCell ref="T73:AG73"/>
    <mergeCell ref="T74:AG76"/>
    <mergeCell ref="B76:B77"/>
    <mergeCell ref="A65:B65"/>
    <mergeCell ref="A66:B66"/>
    <mergeCell ref="B71:B72"/>
    <mergeCell ref="M71:N72"/>
    <mergeCell ref="T71:AG72"/>
    <mergeCell ref="A68:B68"/>
    <mergeCell ref="T68:AG68"/>
    <mergeCell ref="A69:R69"/>
  </mergeCells>
  <pageMargins left="0.13" right="0.12" top="0.35" bottom="0.12" header="0.3" footer="0.12"/>
  <pageSetup paperSize="9" scale="71" fitToHeight="0"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AY97"/>
  <sheetViews>
    <sheetView zoomScale="85" zoomScaleNormal="85" workbookViewId="0">
      <selection activeCell="AQ66" sqref="AQ66"/>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96</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v>1</v>
      </c>
      <c r="D12" s="87">
        <v>2</v>
      </c>
      <c r="E12" s="61">
        <v>3</v>
      </c>
      <c r="F12" s="61">
        <v>4</v>
      </c>
      <c r="G12" s="61">
        <v>5</v>
      </c>
      <c r="H12" s="61">
        <v>6</v>
      </c>
      <c r="I12" s="62"/>
      <c r="J12" s="61">
        <v>8</v>
      </c>
      <c r="K12" s="61">
        <v>9</v>
      </c>
      <c r="L12" s="61">
        <v>10</v>
      </c>
      <c r="M12" s="61">
        <v>11</v>
      </c>
      <c r="N12" s="61">
        <v>12</v>
      </c>
      <c r="O12" s="61">
        <v>13</v>
      </c>
      <c r="P12" s="63"/>
      <c r="Q12" s="61">
        <v>15</v>
      </c>
      <c r="R12" s="61">
        <v>16</v>
      </c>
      <c r="S12" s="61">
        <v>17</v>
      </c>
      <c r="T12" s="61">
        <v>18</v>
      </c>
      <c r="U12" s="61">
        <v>19</v>
      </c>
      <c r="V12" s="61">
        <v>20</v>
      </c>
      <c r="W12" s="63"/>
      <c r="X12" s="61">
        <v>22</v>
      </c>
      <c r="Y12" s="61">
        <v>23</v>
      </c>
      <c r="Z12" s="61">
        <v>24</v>
      </c>
      <c r="AA12" s="61">
        <v>25</v>
      </c>
      <c r="AB12" s="61">
        <v>26</v>
      </c>
      <c r="AC12" s="61">
        <v>27</v>
      </c>
      <c r="AD12" s="63"/>
      <c r="AE12" s="61">
        <v>29</v>
      </c>
      <c r="AF12" s="61">
        <v>30</v>
      </c>
      <c r="AG12" s="61">
        <v>31</v>
      </c>
      <c r="AH12" s="61"/>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85" t="s">
        <v>107</v>
      </c>
      <c r="G14" s="85" t="s">
        <v>86</v>
      </c>
      <c r="H14" s="43"/>
      <c r="I14" s="22"/>
      <c r="J14" s="43"/>
      <c r="K14" s="43"/>
      <c r="L14" s="43"/>
      <c r="M14" s="43"/>
      <c r="N14" s="43"/>
      <c r="O14" s="43"/>
      <c r="P14" s="22"/>
      <c r="Q14" s="43"/>
      <c r="R14" s="43"/>
      <c r="S14" s="43"/>
      <c r="T14" s="43"/>
      <c r="U14" s="43"/>
      <c r="V14" s="43"/>
      <c r="W14" s="22"/>
      <c r="X14" s="43"/>
      <c r="Y14" s="43"/>
      <c r="Z14" s="43"/>
      <c r="AA14" s="43"/>
      <c r="AB14" s="43"/>
      <c r="AC14" s="43"/>
      <c r="AD14" s="22"/>
      <c r="AE14" s="43"/>
      <c r="AF14" s="43"/>
      <c r="AG14" s="43"/>
      <c r="AH14" s="43"/>
      <c r="AI14" s="43"/>
      <c r="AJ14" s="43"/>
      <c r="AK14" s="46">
        <f t="shared" ref="AK14:AK27" si="0">COUNTIF(D14:AJ14,"X")</f>
        <v>1</v>
      </c>
      <c r="AL14" s="46">
        <f t="shared" ref="AL14:AL27" si="1">COUNTIF(D14:AJ14,"T")</f>
        <v>1</v>
      </c>
      <c r="AM14" s="153"/>
      <c r="AN14" s="154"/>
      <c r="AO14" s="154"/>
      <c r="AP14" s="155"/>
    </row>
    <row r="15" spans="1:51" ht="14.1" customHeight="1">
      <c r="A15" s="42">
        <v>2</v>
      </c>
      <c r="B15" s="52"/>
      <c r="C15" s="85"/>
      <c r="D15" s="85"/>
      <c r="E15" s="43"/>
      <c r="F15" s="43"/>
      <c r="G15" s="43"/>
      <c r="H15" s="43"/>
      <c r="I15" s="23"/>
      <c r="J15" s="43"/>
      <c r="K15" s="43"/>
      <c r="L15" s="43"/>
      <c r="M15" s="43"/>
      <c r="N15" s="43"/>
      <c r="O15" s="43"/>
      <c r="P15" s="23"/>
      <c r="Q15" s="43"/>
      <c r="R15" s="43"/>
      <c r="S15" s="43"/>
      <c r="T15" s="43"/>
      <c r="U15" s="43"/>
      <c r="V15" s="43"/>
      <c r="W15" s="22"/>
      <c r="X15" s="43"/>
      <c r="Y15" s="43"/>
      <c r="Z15" s="43"/>
      <c r="AA15" s="43"/>
      <c r="AB15" s="43"/>
      <c r="AC15" s="43"/>
      <c r="AD15" s="23"/>
      <c r="AE15" s="43"/>
      <c r="AF15" s="43"/>
      <c r="AG15" s="43"/>
      <c r="AH15" s="43"/>
      <c r="AI15" s="43"/>
      <c r="AJ15" s="43"/>
      <c r="AK15" s="46">
        <f t="shared" si="0"/>
        <v>0</v>
      </c>
      <c r="AL15" s="46">
        <f t="shared" si="1"/>
        <v>0</v>
      </c>
      <c r="AM15" s="150"/>
      <c r="AN15" s="151"/>
      <c r="AO15" s="151"/>
      <c r="AP15" s="152"/>
    </row>
    <row r="16" spans="1:51" ht="14.1" customHeight="1">
      <c r="A16" s="42">
        <v>3</v>
      </c>
      <c r="B16" s="53"/>
      <c r="C16" s="85"/>
      <c r="D16" s="85"/>
      <c r="E16" s="43"/>
      <c r="F16" s="43"/>
      <c r="G16" s="43"/>
      <c r="H16" s="43"/>
      <c r="I16" s="23"/>
      <c r="J16" s="43"/>
      <c r="K16" s="43"/>
      <c r="L16" s="43"/>
      <c r="M16" s="43"/>
      <c r="N16" s="43"/>
      <c r="O16" s="43"/>
      <c r="P16" s="23"/>
      <c r="Q16" s="43"/>
      <c r="R16" s="43"/>
      <c r="S16" s="43"/>
      <c r="T16" s="43"/>
      <c r="U16" s="43"/>
      <c r="V16" s="43"/>
      <c r="W16" s="22"/>
      <c r="X16" s="43"/>
      <c r="Y16" s="43"/>
      <c r="Z16" s="43"/>
      <c r="AA16" s="43"/>
      <c r="AB16" s="43"/>
      <c r="AC16" s="43"/>
      <c r="AD16" s="23"/>
      <c r="AE16" s="43"/>
      <c r="AF16" s="43"/>
      <c r="AG16" s="43"/>
      <c r="AH16" s="43"/>
      <c r="AI16" s="43"/>
      <c r="AJ16" s="43"/>
      <c r="AK16" s="46">
        <f t="shared" si="0"/>
        <v>0</v>
      </c>
      <c r="AL16" s="46">
        <f t="shared" si="1"/>
        <v>0</v>
      </c>
      <c r="AM16" s="150"/>
      <c r="AN16" s="151"/>
      <c r="AO16" s="151"/>
      <c r="AP16" s="152"/>
    </row>
    <row r="17" spans="1:42" ht="14.1" customHeight="1">
      <c r="A17" s="42">
        <v>4</v>
      </c>
      <c r="B17" s="53"/>
      <c r="C17" s="85"/>
      <c r="D17" s="85"/>
      <c r="E17" s="43"/>
      <c r="F17" s="43"/>
      <c r="G17" s="43"/>
      <c r="H17" s="43"/>
      <c r="I17" s="23"/>
      <c r="J17" s="43"/>
      <c r="K17" s="43"/>
      <c r="L17" s="43"/>
      <c r="M17" s="43"/>
      <c r="N17" s="43"/>
      <c r="O17" s="43"/>
      <c r="P17" s="23"/>
      <c r="Q17" s="43"/>
      <c r="R17" s="43"/>
      <c r="S17" s="43"/>
      <c r="T17" s="43"/>
      <c r="U17" s="43"/>
      <c r="V17" s="43"/>
      <c r="W17" s="22"/>
      <c r="X17" s="43"/>
      <c r="Y17" s="43"/>
      <c r="Z17" s="43"/>
      <c r="AA17" s="43"/>
      <c r="AB17" s="43"/>
      <c r="AC17" s="43"/>
      <c r="AD17" s="23"/>
      <c r="AE17" s="43"/>
      <c r="AF17" s="43"/>
      <c r="AG17" s="43"/>
      <c r="AH17" s="43"/>
      <c r="AI17" s="43"/>
      <c r="AJ17" s="43"/>
      <c r="AK17" s="46">
        <f t="shared" si="0"/>
        <v>0</v>
      </c>
      <c r="AL17" s="46">
        <f t="shared" si="1"/>
        <v>0</v>
      </c>
      <c r="AM17" s="150"/>
      <c r="AN17" s="151"/>
      <c r="AO17" s="151"/>
      <c r="AP17" s="152"/>
    </row>
    <row r="18" spans="1:42" ht="14.1" customHeight="1">
      <c r="A18" s="42">
        <v>5</v>
      </c>
      <c r="B18" s="53"/>
      <c r="C18" s="85"/>
      <c r="D18" s="85"/>
      <c r="E18" s="43"/>
      <c r="F18" s="43"/>
      <c r="G18" s="43"/>
      <c r="H18" s="43"/>
      <c r="I18" s="23"/>
      <c r="J18" s="43"/>
      <c r="K18" s="43"/>
      <c r="L18" s="43"/>
      <c r="M18" s="43"/>
      <c r="N18" s="43"/>
      <c r="O18" s="43"/>
      <c r="P18" s="23"/>
      <c r="Q18" s="43"/>
      <c r="R18" s="43"/>
      <c r="S18" s="43"/>
      <c r="T18" s="43"/>
      <c r="U18" s="43"/>
      <c r="V18" s="43"/>
      <c r="W18" s="22"/>
      <c r="X18" s="43"/>
      <c r="Y18" s="43"/>
      <c r="Z18" s="43"/>
      <c r="AA18" s="43"/>
      <c r="AB18" s="43"/>
      <c r="AC18" s="43"/>
      <c r="AD18" s="23"/>
      <c r="AE18" s="43"/>
      <c r="AF18" s="43"/>
      <c r="AG18" s="43"/>
      <c r="AH18" s="43"/>
      <c r="AI18" s="43"/>
      <c r="AJ18" s="43"/>
      <c r="AK18" s="46">
        <f t="shared" si="0"/>
        <v>0</v>
      </c>
      <c r="AL18" s="46">
        <f t="shared" si="1"/>
        <v>0</v>
      </c>
      <c r="AM18" s="150"/>
      <c r="AN18" s="151"/>
      <c r="AO18" s="151"/>
      <c r="AP18" s="152"/>
    </row>
    <row r="19" spans="1:42" ht="14.1" customHeight="1">
      <c r="A19" s="42">
        <v>6</v>
      </c>
      <c r="B19" s="53"/>
      <c r="C19" s="85"/>
      <c r="D19" s="85"/>
      <c r="E19" s="43"/>
      <c r="F19" s="43"/>
      <c r="G19" s="43"/>
      <c r="H19" s="43"/>
      <c r="I19" s="23"/>
      <c r="J19" s="43"/>
      <c r="K19" s="43"/>
      <c r="L19" s="43"/>
      <c r="M19" s="43"/>
      <c r="N19" s="43"/>
      <c r="O19" s="43"/>
      <c r="P19" s="23"/>
      <c r="Q19" s="43"/>
      <c r="R19" s="43"/>
      <c r="S19" s="43"/>
      <c r="T19" s="43"/>
      <c r="U19" s="43"/>
      <c r="V19" s="43"/>
      <c r="W19" s="22"/>
      <c r="X19" s="43"/>
      <c r="Y19" s="43"/>
      <c r="Z19" s="43"/>
      <c r="AA19" s="43"/>
      <c r="AB19" s="43"/>
      <c r="AC19" s="43"/>
      <c r="AD19" s="23"/>
      <c r="AE19" s="43"/>
      <c r="AF19" s="43"/>
      <c r="AG19" s="43"/>
      <c r="AH19" s="43"/>
      <c r="AI19" s="43"/>
      <c r="AJ19" s="43"/>
      <c r="AK19" s="46">
        <f t="shared" si="0"/>
        <v>0</v>
      </c>
      <c r="AL19" s="46">
        <f t="shared" si="1"/>
        <v>0</v>
      </c>
      <c r="AM19" s="150"/>
      <c r="AN19" s="151"/>
      <c r="AO19" s="151"/>
      <c r="AP19" s="152"/>
    </row>
    <row r="20" spans="1:42" ht="14.1" customHeight="1">
      <c r="A20" s="42">
        <v>7</v>
      </c>
      <c r="B20" s="53"/>
      <c r="C20" s="85"/>
      <c r="D20" s="85"/>
      <c r="E20" s="43"/>
      <c r="F20" s="43"/>
      <c r="G20" s="43"/>
      <c r="H20" s="43"/>
      <c r="I20" s="23"/>
      <c r="J20" s="43"/>
      <c r="K20" s="43"/>
      <c r="L20" s="43"/>
      <c r="M20" s="43"/>
      <c r="N20" s="43"/>
      <c r="O20" s="43"/>
      <c r="P20" s="23"/>
      <c r="Q20" s="43"/>
      <c r="R20" s="43"/>
      <c r="S20" s="43"/>
      <c r="T20" s="43"/>
      <c r="U20" s="43"/>
      <c r="V20" s="43"/>
      <c r="W20" s="22"/>
      <c r="X20" s="43"/>
      <c r="Y20" s="43"/>
      <c r="Z20" s="43"/>
      <c r="AA20" s="43"/>
      <c r="AB20" s="43"/>
      <c r="AC20" s="43"/>
      <c r="AD20" s="23"/>
      <c r="AE20" s="43"/>
      <c r="AF20" s="43"/>
      <c r="AG20" s="43"/>
      <c r="AH20" s="43"/>
      <c r="AI20" s="43"/>
      <c r="AJ20" s="43"/>
      <c r="AK20" s="46">
        <f t="shared" si="0"/>
        <v>0</v>
      </c>
      <c r="AL20" s="46">
        <f t="shared" si="1"/>
        <v>0</v>
      </c>
      <c r="AM20" s="150"/>
      <c r="AN20" s="151"/>
      <c r="AO20" s="151"/>
      <c r="AP20" s="152"/>
    </row>
    <row r="21" spans="1:42" ht="14.1" customHeight="1">
      <c r="A21" s="42">
        <v>8</v>
      </c>
      <c r="B21" s="53"/>
      <c r="C21" s="85"/>
      <c r="D21" s="85"/>
      <c r="E21" s="43"/>
      <c r="F21" s="43"/>
      <c r="G21" s="43"/>
      <c r="H21" s="43"/>
      <c r="I21" s="23"/>
      <c r="J21" s="43"/>
      <c r="K21" s="43"/>
      <c r="L21" s="43"/>
      <c r="M21" s="43"/>
      <c r="N21" s="43"/>
      <c r="O21" s="43"/>
      <c r="P21" s="23"/>
      <c r="Q21" s="43"/>
      <c r="R21" s="43"/>
      <c r="S21" s="43"/>
      <c r="T21" s="43"/>
      <c r="U21" s="43"/>
      <c r="V21" s="43"/>
      <c r="W21" s="22"/>
      <c r="X21" s="43"/>
      <c r="Y21" s="43"/>
      <c r="Z21" s="43"/>
      <c r="AA21" s="43"/>
      <c r="AB21" s="43"/>
      <c r="AC21" s="43"/>
      <c r="AD21" s="23"/>
      <c r="AE21" s="43"/>
      <c r="AF21" s="43"/>
      <c r="AG21" s="43"/>
      <c r="AH21" s="43"/>
      <c r="AI21" s="43"/>
      <c r="AJ21" s="43"/>
      <c r="AK21" s="46">
        <f t="shared" si="0"/>
        <v>0</v>
      </c>
      <c r="AL21" s="46">
        <f t="shared" si="1"/>
        <v>0</v>
      </c>
      <c r="AM21" s="150"/>
      <c r="AN21" s="151"/>
      <c r="AO21" s="151"/>
      <c r="AP21" s="152"/>
    </row>
    <row r="22" spans="1:42" ht="14.1" customHeight="1">
      <c r="A22" s="42">
        <v>9</v>
      </c>
      <c r="B22" s="52"/>
      <c r="C22" s="43"/>
      <c r="D22" s="43"/>
      <c r="E22" s="43"/>
      <c r="F22" s="43"/>
      <c r="G22" s="43"/>
      <c r="H22" s="43"/>
      <c r="I22" s="23"/>
      <c r="J22" s="43"/>
      <c r="K22" s="43"/>
      <c r="L22" s="43"/>
      <c r="M22" s="43"/>
      <c r="N22" s="43"/>
      <c r="O22" s="43"/>
      <c r="P22" s="23"/>
      <c r="Q22" s="43"/>
      <c r="R22" s="43"/>
      <c r="S22" s="43"/>
      <c r="T22" s="43"/>
      <c r="U22" s="43"/>
      <c r="V22" s="43"/>
      <c r="W22" s="22"/>
      <c r="X22" s="43"/>
      <c r="Y22" s="43"/>
      <c r="Z22" s="43"/>
      <c r="AA22" s="43"/>
      <c r="AB22" s="43"/>
      <c r="AC22" s="43"/>
      <c r="AD22" s="23"/>
      <c r="AE22" s="43"/>
      <c r="AF22" s="43"/>
      <c r="AG22" s="43"/>
      <c r="AH22" s="43"/>
      <c r="AI22" s="43"/>
      <c r="AJ22" s="43"/>
      <c r="AK22" s="46">
        <f t="shared" si="0"/>
        <v>0</v>
      </c>
      <c r="AL22" s="46">
        <f t="shared" si="1"/>
        <v>0</v>
      </c>
      <c r="AM22" s="150"/>
      <c r="AN22" s="151"/>
      <c r="AO22" s="151"/>
      <c r="AP22" s="152"/>
    </row>
    <row r="23" spans="1:42" ht="14.1" customHeight="1">
      <c r="A23" s="42">
        <v>10</v>
      </c>
      <c r="B23" s="53"/>
      <c r="C23" s="43"/>
      <c r="D23" s="43"/>
      <c r="E23" s="43"/>
      <c r="F23" s="43"/>
      <c r="G23" s="43"/>
      <c r="H23" s="43"/>
      <c r="I23" s="23"/>
      <c r="J23" s="43"/>
      <c r="K23" s="43"/>
      <c r="L23" s="43"/>
      <c r="M23" s="43"/>
      <c r="N23" s="43"/>
      <c r="O23" s="43"/>
      <c r="P23" s="23"/>
      <c r="Q23" s="43"/>
      <c r="R23" s="43"/>
      <c r="S23" s="43"/>
      <c r="T23" s="43"/>
      <c r="U23" s="43"/>
      <c r="V23" s="43"/>
      <c r="W23" s="22"/>
      <c r="X23" s="43"/>
      <c r="Y23" s="43"/>
      <c r="Z23" s="43"/>
      <c r="AA23" s="43"/>
      <c r="AB23" s="43"/>
      <c r="AC23" s="43"/>
      <c r="AD23" s="23"/>
      <c r="AE23" s="43"/>
      <c r="AF23" s="43"/>
      <c r="AG23" s="43"/>
      <c r="AH23" s="43"/>
      <c r="AI23" s="43"/>
      <c r="AJ23" s="43"/>
      <c r="AK23" s="46">
        <f t="shared" si="0"/>
        <v>0</v>
      </c>
      <c r="AL23" s="46">
        <f t="shared" si="1"/>
        <v>0</v>
      </c>
      <c r="AM23" s="150"/>
      <c r="AN23" s="151"/>
      <c r="AO23" s="151"/>
      <c r="AP23" s="152"/>
    </row>
    <row r="24" spans="1:42" ht="14.1" customHeight="1">
      <c r="A24" s="42">
        <v>11</v>
      </c>
      <c r="B24" s="53"/>
      <c r="C24" s="43"/>
      <c r="D24" s="43"/>
      <c r="E24" s="43"/>
      <c r="F24" s="43"/>
      <c r="G24" s="43"/>
      <c r="H24" s="43"/>
      <c r="I24" s="23"/>
      <c r="J24" s="43"/>
      <c r="K24" s="43"/>
      <c r="L24" s="43"/>
      <c r="M24" s="43"/>
      <c r="N24" s="43"/>
      <c r="O24" s="43"/>
      <c r="P24" s="23"/>
      <c r="Q24" s="43"/>
      <c r="R24" s="43"/>
      <c r="S24" s="43"/>
      <c r="T24" s="43"/>
      <c r="U24" s="43"/>
      <c r="V24" s="43"/>
      <c r="W24" s="22"/>
      <c r="X24" s="43"/>
      <c r="Y24" s="43"/>
      <c r="Z24" s="43"/>
      <c r="AA24" s="43"/>
      <c r="AB24" s="43"/>
      <c r="AC24" s="43"/>
      <c r="AD24" s="23"/>
      <c r="AE24" s="43"/>
      <c r="AF24" s="43"/>
      <c r="AG24" s="43"/>
      <c r="AH24" s="43"/>
      <c r="AI24" s="43"/>
      <c r="AJ24" s="43"/>
      <c r="AK24" s="46">
        <f t="shared" si="0"/>
        <v>0</v>
      </c>
      <c r="AL24" s="46">
        <f t="shared" si="1"/>
        <v>0</v>
      </c>
      <c r="AM24" s="150"/>
      <c r="AN24" s="151"/>
      <c r="AO24" s="151"/>
      <c r="AP24" s="152"/>
    </row>
    <row r="25" spans="1:42" ht="14.1" customHeight="1">
      <c r="A25" s="42">
        <v>12</v>
      </c>
      <c r="B25" s="52"/>
      <c r="C25" s="43"/>
      <c r="D25" s="43"/>
      <c r="E25" s="43"/>
      <c r="F25" s="43"/>
      <c r="G25" s="43"/>
      <c r="H25" s="43"/>
      <c r="I25" s="23"/>
      <c r="J25" s="43"/>
      <c r="K25" s="43"/>
      <c r="L25" s="43"/>
      <c r="M25" s="43"/>
      <c r="N25" s="43"/>
      <c r="O25" s="43"/>
      <c r="P25" s="23"/>
      <c r="Q25" s="43"/>
      <c r="R25" s="43"/>
      <c r="S25" s="43"/>
      <c r="T25" s="43"/>
      <c r="U25" s="43"/>
      <c r="V25" s="43"/>
      <c r="W25" s="22"/>
      <c r="X25" s="43"/>
      <c r="Y25" s="43"/>
      <c r="Z25" s="43"/>
      <c r="AA25" s="43"/>
      <c r="AB25" s="43"/>
      <c r="AC25" s="43"/>
      <c r="AD25" s="23"/>
      <c r="AE25" s="43"/>
      <c r="AF25" s="43"/>
      <c r="AG25" s="43"/>
      <c r="AH25" s="43"/>
      <c r="AI25" s="43"/>
      <c r="AJ25" s="43"/>
      <c r="AK25" s="46">
        <f t="shared" si="0"/>
        <v>0</v>
      </c>
      <c r="AL25" s="46">
        <f t="shared" si="1"/>
        <v>0</v>
      </c>
      <c r="AM25" s="150"/>
      <c r="AN25" s="151"/>
      <c r="AO25" s="151"/>
      <c r="AP25" s="152"/>
    </row>
    <row r="26" spans="1:42" ht="14.1" customHeight="1">
      <c r="A26" s="42">
        <v>13</v>
      </c>
      <c r="B26" s="54"/>
      <c r="C26" s="43"/>
      <c r="D26" s="43"/>
      <c r="E26" s="43"/>
      <c r="F26" s="43"/>
      <c r="G26" s="43"/>
      <c r="H26" s="43"/>
      <c r="I26" s="23"/>
      <c r="J26" s="43"/>
      <c r="K26" s="43"/>
      <c r="L26" s="43"/>
      <c r="M26" s="43"/>
      <c r="N26" s="43"/>
      <c r="O26" s="43"/>
      <c r="P26" s="23"/>
      <c r="Q26" s="43"/>
      <c r="R26" s="43"/>
      <c r="S26" s="43"/>
      <c r="T26" s="43"/>
      <c r="U26" s="43"/>
      <c r="V26" s="43"/>
      <c r="W26" s="22"/>
      <c r="X26" s="43"/>
      <c r="Y26" s="43"/>
      <c r="Z26" s="43"/>
      <c r="AA26" s="43"/>
      <c r="AB26" s="43"/>
      <c r="AC26" s="43"/>
      <c r="AD26" s="23"/>
      <c r="AE26" s="43"/>
      <c r="AF26" s="43"/>
      <c r="AG26" s="43"/>
      <c r="AH26" s="43"/>
      <c r="AI26" s="43"/>
      <c r="AJ26" s="43"/>
      <c r="AK26" s="46">
        <f t="shared" si="0"/>
        <v>0</v>
      </c>
      <c r="AL26" s="46">
        <f t="shared" si="1"/>
        <v>0</v>
      </c>
      <c r="AM26" s="39"/>
      <c r="AN26" s="40"/>
      <c r="AO26" s="40"/>
      <c r="AP26" s="41"/>
    </row>
    <row r="27" spans="1:42" ht="14.1" customHeight="1" thickBot="1">
      <c r="A27" s="50">
        <v>14</v>
      </c>
      <c r="B27" s="55"/>
      <c r="C27" s="43"/>
      <c r="D27" s="43"/>
      <c r="E27" s="43"/>
      <c r="F27" s="43"/>
      <c r="G27" s="43"/>
      <c r="H27" s="43"/>
      <c r="I27" s="23"/>
      <c r="J27" s="43"/>
      <c r="K27" s="43"/>
      <c r="L27" s="43"/>
      <c r="M27" s="43"/>
      <c r="N27" s="43"/>
      <c r="O27" s="43"/>
      <c r="P27" s="23"/>
      <c r="Q27" s="43"/>
      <c r="R27" s="43"/>
      <c r="S27" s="43"/>
      <c r="T27" s="43"/>
      <c r="U27" s="43"/>
      <c r="V27" s="43"/>
      <c r="W27" s="22"/>
      <c r="X27" s="43"/>
      <c r="Y27" s="43"/>
      <c r="Z27" s="43"/>
      <c r="AA27" s="43"/>
      <c r="AB27" s="43"/>
      <c r="AC27" s="43"/>
      <c r="AD27" s="23"/>
      <c r="AE27" s="43"/>
      <c r="AF27" s="43"/>
      <c r="AG27" s="43"/>
      <c r="AH27" s="43"/>
      <c r="AI27" s="43"/>
      <c r="AJ27" s="43"/>
      <c r="AK27" s="46">
        <f t="shared" si="0"/>
        <v>0</v>
      </c>
      <c r="AL27" s="46">
        <f t="shared" si="1"/>
        <v>0</v>
      </c>
      <c r="AM27" s="150"/>
      <c r="AN27" s="151"/>
      <c r="AO27" s="151"/>
      <c r="AP27" s="152"/>
    </row>
    <row r="28" spans="1:42" ht="15.75" thickBot="1">
      <c r="A28" s="156" t="s">
        <v>34</v>
      </c>
      <c r="B28" s="157"/>
      <c r="C28" s="48">
        <f t="shared" ref="C28:H28" si="2">ROWS(C14:C27) - COUNTIF(C14:C27,"X")</f>
        <v>14</v>
      </c>
      <c r="D28" s="48">
        <f t="shared" si="2"/>
        <v>14</v>
      </c>
      <c r="E28" s="48">
        <f t="shared" si="2"/>
        <v>14</v>
      </c>
      <c r="F28" s="48">
        <f t="shared" si="2"/>
        <v>13</v>
      </c>
      <c r="G28" s="48">
        <f t="shared" si="2"/>
        <v>14</v>
      </c>
      <c r="H28" s="48">
        <f t="shared" si="2"/>
        <v>14</v>
      </c>
      <c r="I28" s="45"/>
      <c r="J28" s="48">
        <f t="shared" ref="J28:O28" si="3">ROWS(J14:J27) - COUNTIF(J14:J27,"X")</f>
        <v>14</v>
      </c>
      <c r="K28" s="48">
        <f t="shared" si="3"/>
        <v>14</v>
      </c>
      <c r="L28" s="48">
        <f t="shared" si="3"/>
        <v>14</v>
      </c>
      <c r="M28" s="48">
        <f t="shared" si="3"/>
        <v>14</v>
      </c>
      <c r="N28" s="48">
        <f t="shared" si="3"/>
        <v>14</v>
      </c>
      <c r="O28" s="48">
        <f t="shared" si="3"/>
        <v>14</v>
      </c>
      <c r="P28" s="45"/>
      <c r="Q28" s="48">
        <f t="shared" ref="Q28:V28" si="4">ROWS(Q14:Q27) - COUNTIF(Q14:Q27,"X")</f>
        <v>14</v>
      </c>
      <c r="R28" s="48">
        <f t="shared" si="4"/>
        <v>14</v>
      </c>
      <c r="S28" s="48">
        <f t="shared" si="4"/>
        <v>14</v>
      </c>
      <c r="T28" s="48">
        <f t="shared" si="4"/>
        <v>14</v>
      </c>
      <c r="U28" s="48">
        <f t="shared" si="4"/>
        <v>14</v>
      </c>
      <c r="V28" s="48">
        <f t="shared" si="4"/>
        <v>14</v>
      </c>
      <c r="W28" s="45"/>
      <c r="X28" s="48">
        <f t="shared" ref="X28:AG28" si="5">ROWS(X14:X27) - COUNTIF(X14:X27,"X")</f>
        <v>14</v>
      </c>
      <c r="Y28" s="48">
        <f t="shared" si="5"/>
        <v>14</v>
      </c>
      <c r="Z28" s="48">
        <f t="shared" si="5"/>
        <v>14</v>
      </c>
      <c r="AA28" s="48">
        <f t="shared" si="5"/>
        <v>14</v>
      </c>
      <c r="AB28" s="48">
        <f t="shared" si="5"/>
        <v>14</v>
      </c>
      <c r="AC28" s="48">
        <f t="shared" si="5"/>
        <v>14</v>
      </c>
      <c r="AD28" s="45"/>
      <c r="AE28" s="48">
        <f t="shared" si="5"/>
        <v>14</v>
      </c>
      <c r="AF28" s="48">
        <f t="shared" si="5"/>
        <v>14</v>
      </c>
      <c r="AG28" s="48">
        <f t="shared" si="5"/>
        <v>14</v>
      </c>
      <c r="AH28" s="48"/>
      <c r="AI28" s="48"/>
      <c r="AJ28" s="48"/>
      <c r="AK28" s="47">
        <f>SUM(AK14:AK27)</f>
        <v>1</v>
      </c>
      <c r="AL28" s="47">
        <f>SUM(AL14:AL27)</f>
        <v>1</v>
      </c>
      <c r="AM28" s="141">
        <f>SUM(C28:AJ28)</f>
        <v>377</v>
      </c>
      <c r="AN28" s="141"/>
      <c r="AO28" s="141"/>
      <c r="AP28" s="142"/>
    </row>
    <row r="29" spans="1:42" ht="14.1" customHeight="1">
      <c r="A29" s="49">
        <v>1</v>
      </c>
      <c r="B29" s="51"/>
      <c r="C29" s="43"/>
      <c r="D29" s="43"/>
      <c r="E29" s="43"/>
      <c r="F29" s="43"/>
      <c r="G29" s="43"/>
      <c r="H29" s="43"/>
      <c r="I29" s="22"/>
      <c r="J29" s="43"/>
      <c r="K29" s="43"/>
      <c r="L29" s="43"/>
      <c r="M29" s="43"/>
      <c r="N29" s="43"/>
      <c r="O29" s="43"/>
      <c r="P29" s="22"/>
      <c r="Q29" s="43"/>
      <c r="R29" s="43"/>
      <c r="S29" s="43"/>
      <c r="T29" s="43"/>
      <c r="U29" s="43"/>
      <c r="V29" s="43"/>
      <c r="W29" s="22"/>
      <c r="X29" s="43"/>
      <c r="Y29" s="43"/>
      <c r="Z29" s="43"/>
      <c r="AA29" s="43"/>
      <c r="AB29" s="43"/>
      <c r="AC29" s="43"/>
      <c r="AD29" s="22"/>
      <c r="AE29" s="43"/>
      <c r="AF29" s="43"/>
      <c r="AG29" s="43"/>
      <c r="AH29" s="43"/>
      <c r="AI29" s="43"/>
      <c r="AJ29" s="43"/>
      <c r="AK29" s="46">
        <f t="shared" ref="AK29:AK64" si="6">COUNTIF(D29:AJ29,"X")</f>
        <v>0</v>
      </c>
      <c r="AL29" s="46">
        <f t="shared" ref="AL29:AL64" si="7">COUNTIF(D29:AJ29,"T")</f>
        <v>0</v>
      </c>
      <c r="AM29" s="153"/>
      <c r="AN29" s="154"/>
      <c r="AO29" s="154"/>
      <c r="AP29" s="155"/>
    </row>
    <row r="30" spans="1:42" ht="14.1" customHeight="1">
      <c r="A30" s="42">
        <v>2</v>
      </c>
      <c r="B30" s="52"/>
      <c r="C30" s="43"/>
      <c r="D30" s="43"/>
      <c r="E30" s="43"/>
      <c r="F30" s="43"/>
      <c r="G30" s="43"/>
      <c r="H30" s="43"/>
      <c r="I30" s="22"/>
      <c r="J30" s="43"/>
      <c r="K30" s="43"/>
      <c r="L30" s="43"/>
      <c r="M30" s="43"/>
      <c r="N30" s="43"/>
      <c r="O30" s="43"/>
      <c r="P30" s="22"/>
      <c r="Q30" s="43"/>
      <c r="R30" s="43"/>
      <c r="S30" s="43"/>
      <c r="T30" s="43"/>
      <c r="U30" s="43"/>
      <c r="V30" s="43"/>
      <c r="W30" s="22"/>
      <c r="X30" s="43"/>
      <c r="Y30" s="43"/>
      <c r="Z30" s="43"/>
      <c r="AA30" s="43"/>
      <c r="AB30" s="43"/>
      <c r="AC30" s="43"/>
      <c r="AD30" s="22"/>
      <c r="AE30" s="43"/>
      <c r="AF30" s="43"/>
      <c r="AG30" s="43"/>
      <c r="AH30" s="43"/>
      <c r="AI30" s="43"/>
      <c r="AJ30" s="43"/>
      <c r="AK30" s="46">
        <f t="shared" si="6"/>
        <v>0</v>
      </c>
      <c r="AL30" s="46">
        <f t="shared" si="7"/>
        <v>0</v>
      </c>
      <c r="AM30" s="150"/>
      <c r="AN30" s="151"/>
      <c r="AO30" s="151"/>
      <c r="AP30" s="152"/>
    </row>
    <row r="31" spans="1:42" ht="14.1" customHeight="1">
      <c r="A31" s="42">
        <v>3</v>
      </c>
      <c r="B31" s="52"/>
      <c r="C31" s="43"/>
      <c r="D31" s="43"/>
      <c r="E31" s="43"/>
      <c r="F31" s="43"/>
      <c r="G31" s="43"/>
      <c r="H31" s="43"/>
      <c r="I31" s="22"/>
      <c r="J31" s="43"/>
      <c r="K31" s="43"/>
      <c r="L31" s="43"/>
      <c r="M31" s="43"/>
      <c r="N31" s="43"/>
      <c r="O31" s="43"/>
      <c r="P31" s="22"/>
      <c r="Q31" s="43"/>
      <c r="R31" s="43"/>
      <c r="S31" s="43"/>
      <c r="T31" s="43"/>
      <c r="U31" s="43"/>
      <c r="V31" s="43"/>
      <c r="W31" s="22"/>
      <c r="X31" s="43"/>
      <c r="Y31" s="43"/>
      <c r="Z31" s="43"/>
      <c r="AA31" s="43"/>
      <c r="AB31" s="43"/>
      <c r="AC31" s="43"/>
      <c r="AD31" s="22"/>
      <c r="AE31" s="43"/>
      <c r="AF31" s="43"/>
      <c r="AG31" s="43"/>
      <c r="AH31" s="43"/>
      <c r="AI31" s="43"/>
      <c r="AJ31" s="43"/>
      <c r="AK31" s="46">
        <f t="shared" si="6"/>
        <v>0</v>
      </c>
      <c r="AL31" s="46">
        <f t="shared" si="7"/>
        <v>0</v>
      </c>
      <c r="AM31" s="150"/>
      <c r="AN31" s="151"/>
      <c r="AO31" s="151"/>
      <c r="AP31" s="152"/>
    </row>
    <row r="32" spans="1:42" ht="14.1" customHeight="1">
      <c r="A32" s="42">
        <v>4</v>
      </c>
      <c r="B32" s="52"/>
      <c r="C32" s="43"/>
      <c r="D32" s="43"/>
      <c r="E32" s="43"/>
      <c r="F32" s="43"/>
      <c r="G32" s="43"/>
      <c r="H32" s="43"/>
      <c r="I32" s="22"/>
      <c r="J32" s="43"/>
      <c r="K32" s="43"/>
      <c r="L32" s="43"/>
      <c r="M32" s="43"/>
      <c r="N32" s="43"/>
      <c r="O32" s="43"/>
      <c r="P32" s="22"/>
      <c r="Q32" s="43"/>
      <c r="R32" s="43"/>
      <c r="S32" s="43"/>
      <c r="T32" s="43"/>
      <c r="U32" s="43"/>
      <c r="V32" s="43"/>
      <c r="W32" s="22"/>
      <c r="X32" s="43"/>
      <c r="Y32" s="43"/>
      <c r="Z32" s="43"/>
      <c r="AA32" s="43"/>
      <c r="AB32" s="43"/>
      <c r="AC32" s="43"/>
      <c r="AD32" s="22"/>
      <c r="AE32" s="43"/>
      <c r="AF32" s="43"/>
      <c r="AG32" s="43"/>
      <c r="AH32" s="43"/>
      <c r="AI32" s="43"/>
      <c r="AJ32" s="43"/>
      <c r="AK32" s="46">
        <f t="shared" si="6"/>
        <v>0</v>
      </c>
      <c r="AL32" s="46">
        <f t="shared" si="7"/>
        <v>0</v>
      </c>
      <c r="AM32" s="150"/>
      <c r="AN32" s="151"/>
      <c r="AO32" s="151"/>
      <c r="AP32" s="152"/>
    </row>
    <row r="33" spans="1:42" ht="14.1" customHeight="1">
      <c r="A33" s="42">
        <v>5</v>
      </c>
      <c r="B33" s="52"/>
      <c r="C33" s="43"/>
      <c r="D33" s="43"/>
      <c r="E33" s="43"/>
      <c r="F33" s="43"/>
      <c r="G33" s="43"/>
      <c r="H33" s="43"/>
      <c r="I33" s="22"/>
      <c r="J33" s="43"/>
      <c r="K33" s="43"/>
      <c r="L33" s="43"/>
      <c r="M33" s="43"/>
      <c r="N33" s="43"/>
      <c r="O33" s="43"/>
      <c r="P33" s="22"/>
      <c r="Q33" s="43"/>
      <c r="R33" s="43"/>
      <c r="S33" s="43"/>
      <c r="T33" s="43"/>
      <c r="U33" s="43"/>
      <c r="V33" s="43"/>
      <c r="W33" s="22"/>
      <c r="X33" s="43"/>
      <c r="Y33" s="43"/>
      <c r="Z33" s="43"/>
      <c r="AA33" s="43"/>
      <c r="AB33" s="43"/>
      <c r="AC33" s="43"/>
      <c r="AD33" s="22"/>
      <c r="AE33" s="43"/>
      <c r="AF33" s="43"/>
      <c r="AG33" s="43"/>
      <c r="AH33" s="43"/>
      <c r="AI33" s="43"/>
      <c r="AJ33" s="43"/>
      <c r="AK33" s="46">
        <f t="shared" si="6"/>
        <v>0</v>
      </c>
      <c r="AL33" s="46">
        <f t="shared" si="7"/>
        <v>0</v>
      </c>
      <c r="AM33" s="150"/>
      <c r="AN33" s="151"/>
      <c r="AO33" s="151"/>
      <c r="AP33" s="152"/>
    </row>
    <row r="34" spans="1:42" ht="14.1" customHeight="1">
      <c r="A34" s="42">
        <v>6</v>
      </c>
      <c r="B34" s="52"/>
      <c r="C34" s="43"/>
      <c r="D34" s="43"/>
      <c r="E34" s="43"/>
      <c r="F34" s="43"/>
      <c r="G34" s="43"/>
      <c r="H34" s="43"/>
      <c r="I34" s="22"/>
      <c r="J34" s="43"/>
      <c r="K34" s="43"/>
      <c r="L34" s="43"/>
      <c r="M34" s="43"/>
      <c r="N34" s="43"/>
      <c r="O34" s="43"/>
      <c r="P34" s="22"/>
      <c r="Q34" s="43"/>
      <c r="R34" s="43"/>
      <c r="S34" s="43"/>
      <c r="T34" s="43"/>
      <c r="U34" s="43"/>
      <c r="V34" s="43"/>
      <c r="W34" s="22"/>
      <c r="X34" s="43"/>
      <c r="Y34" s="43"/>
      <c r="Z34" s="43"/>
      <c r="AA34" s="43"/>
      <c r="AB34" s="43"/>
      <c r="AC34" s="43"/>
      <c r="AD34" s="22"/>
      <c r="AE34" s="43"/>
      <c r="AF34" s="43"/>
      <c r="AG34" s="43"/>
      <c r="AH34" s="43"/>
      <c r="AI34" s="43"/>
      <c r="AJ34" s="43"/>
      <c r="AK34" s="46">
        <f t="shared" si="6"/>
        <v>0</v>
      </c>
      <c r="AL34" s="46">
        <f t="shared" si="7"/>
        <v>0</v>
      </c>
      <c r="AM34" s="150"/>
      <c r="AN34" s="151"/>
      <c r="AO34" s="151"/>
      <c r="AP34" s="152"/>
    </row>
    <row r="35" spans="1:42" ht="14.1" customHeight="1">
      <c r="A35" s="42">
        <v>7</v>
      </c>
      <c r="B35" s="52"/>
      <c r="C35" s="43"/>
      <c r="D35" s="43"/>
      <c r="E35" s="43"/>
      <c r="F35" s="43"/>
      <c r="G35" s="43"/>
      <c r="H35" s="43"/>
      <c r="I35" s="22"/>
      <c r="J35" s="43"/>
      <c r="K35" s="43"/>
      <c r="L35" s="43"/>
      <c r="M35" s="43"/>
      <c r="N35" s="43"/>
      <c r="O35" s="43"/>
      <c r="P35" s="22"/>
      <c r="Q35" s="43"/>
      <c r="R35" s="43"/>
      <c r="S35" s="43"/>
      <c r="T35" s="43"/>
      <c r="U35" s="43"/>
      <c r="V35" s="43"/>
      <c r="W35" s="22"/>
      <c r="X35" s="43"/>
      <c r="Y35" s="43"/>
      <c r="Z35" s="43"/>
      <c r="AA35" s="43"/>
      <c r="AB35" s="43"/>
      <c r="AC35" s="43"/>
      <c r="AD35" s="22"/>
      <c r="AE35" s="43"/>
      <c r="AF35" s="43"/>
      <c r="AG35" s="43"/>
      <c r="AH35" s="43"/>
      <c r="AI35" s="43"/>
      <c r="AJ35" s="43"/>
      <c r="AK35" s="46">
        <f t="shared" si="6"/>
        <v>0</v>
      </c>
      <c r="AL35" s="46">
        <f t="shared" si="7"/>
        <v>0</v>
      </c>
      <c r="AM35" s="150"/>
      <c r="AN35" s="151"/>
      <c r="AO35" s="151"/>
      <c r="AP35" s="152"/>
    </row>
    <row r="36" spans="1:42" ht="14.1" customHeight="1">
      <c r="A36" s="42">
        <v>8</v>
      </c>
      <c r="B36" s="52"/>
      <c r="C36" s="43"/>
      <c r="D36" s="43"/>
      <c r="E36" s="43"/>
      <c r="F36" s="43"/>
      <c r="G36" s="43"/>
      <c r="H36" s="43"/>
      <c r="I36" s="22"/>
      <c r="J36" s="43"/>
      <c r="K36" s="43"/>
      <c r="L36" s="43"/>
      <c r="M36" s="43"/>
      <c r="N36" s="43"/>
      <c r="O36" s="43"/>
      <c r="P36" s="22"/>
      <c r="Q36" s="43"/>
      <c r="R36" s="43"/>
      <c r="S36" s="43"/>
      <c r="T36" s="43"/>
      <c r="U36" s="43"/>
      <c r="V36" s="43"/>
      <c r="W36" s="22"/>
      <c r="X36" s="43"/>
      <c r="Y36" s="43"/>
      <c r="Z36" s="43"/>
      <c r="AA36" s="43"/>
      <c r="AB36" s="43"/>
      <c r="AC36" s="43"/>
      <c r="AD36" s="22"/>
      <c r="AE36" s="43"/>
      <c r="AF36" s="43"/>
      <c r="AG36" s="43"/>
      <c r="AH36" s="43"/>
      <c r="AI36" s="43"/>
      <c r="AJ36" s="43"/>
      <c r="AK36" s="46">
        <f t="shared" si="6"/>
        <v>0</v>
      </c>
      <c r="AL36" s="46">
        <f t="shared" si="7"/>
        <v>0</v>
      </c>
      <c r="AM36" s="150"/>
      <c r="AN36" s="151"/>
      <c r="AO36" s="151"/>
      <c r="AP36" s="152"/>
    </row>
    <row r="37" spans="1:42" ht="14.1" customHeight="1">
      <c r="A37" s="42">
        <v>9</v>
      </c>
      <c r="B37" s="52"/>
      <c r="C37" s="43"/>
      <c r="D37" s="43"/>
      <c r="E37" s="43"/>
      <c r="F37" s="43"/>
      <c r="G37" s="43"/>
      <c r="H37" s="43"/>
      <c r="I37" s="22"/>
      <c r="J37" s="43"/>
      <c r="K37" s="43"/>
      <c r="L37" s="43"/>
      <c r="M37" s="43"/>
      <c r="N37" s="43"/>
      <c r="O37" s="43"/>
      <c r="P37" s="22"/>
      <c r="Q37" s="43"/>
      <c r="R37" s="43"/>
      <c r="S37" s="43"/>
      <c r="T37" s="43"/>
      <c r="U37" s="43"/>
      <c r="V37" s="43"/>
      <c r="W37" s="22"/>
      <c r="X37" s="43"/>
      <c r="Y37" s="43"/>
      <c r="Z37" s="43"/>
      <c r="AA37" s="43"/>
      <c r="AB37" s="43"/>
      <c r="AC37" s="43"/>
      <c r="AD37" s="22"/>
      <c r="AE37" s="43"/>
      <c r="AF37" s="43"/>
      <c r="AG37" s="43"/>
      <c r="AH37" s="43"/>
      <c r="AI37" s="43"/>
      <c r="AJ37" s="43"/>
      <c r="AK37" s="46">
        <f t="shared" si="6"/>
        <v>0</v>
      </c>
      <c r="AL37" s="46">
        <f t="shared" si="7"/>
        <v>0</v>
      </c>
      <c r="AM37" s="150"/>
      <c r="AN37" s="151"/>
      <c r="AO37" s="151"/>
      <c r="AP37" s="152"/>
    </row>
    <row r="38" spans="1:42" ht="14.1" customHeight="1">
      <c r="A38" s="42">
        <v>10</v>
      </c>
      <c r="B38" s="52"/>
      <c r="C38" s="43"/>
      <c r="D38" s="43"/>
      <c r="E38" s="43"/>
      <c r="F38" s="43"/>
      <c r="G38" s="43"/>
      <c r="H38" s="43"/>
      <c r="I38" s="22"/>
      <c r="J38" s="43"/>
      <c r="K38" s="43"/>
      <c r="L38" s="43"/>
      <c r="M38" s="43"/>
      <c r="N38" s="43"/>
      <c r="O38" s="43"/>
      <c r="P38" s="22"/>
      <c r="Q38" s="43"/>
      <c r="R38" s="43"/>
      <c r="S38" s="43"/>
      <c r="T38" s="43"/>
      <c r="U38" s="43"/>
      <c r="V38" s="43"/>
      <c r="W38" s="22"/>
      <c r="X38" s="43"/>
      <c r="Y38" s="43"/>
      <c r="Z38" s="43"/>
      <c r="AA38" s="43"/>
      <c r="AB38" s="43"/>
      <c r="AC38" s="43"/>
      <c r="AD38" s="22"/>
      <c r="AE38" s="43"/>
      <c r="AF38" s="43"/>
      <c r="AG38" s="43"/>
      <c r="AH38" s="43"/>
      <c r="AI38" s="43"/>
      <c r="AJ38" s="43"/>
      <c r="AK38" s="46">
        <f t="shared" si="6"/>
        <v>0</v>
      </c>
      <c r="AL38" s="46">
        <f t="shared" si="7"/>
        <v>0</v>
      </c>
      <c r="AM38" s="150"/>
      <c r="AN38" s="151"/>
      <c r="AO38" s="151"/>
      <c r="AP38" s="152"/>
    </row>
    <row r="39" spans="1:42" ht="14.1" customHeight="1">
      <c r="A39" s="42">
        <v>11</v>
      </c>
      <c r="B39" s="52"/>
      <c r="C39" s="43"/>
      <c r="D39" s="43"/>
      <c r="E39" s="43"/>
      <c r="F39" s="43"/>
      <c r="G39" s="43"/>
      <c r="H39" s="43"/>
      <c r="I39" s="22"/>
      <c r="J39" s="43"/>
      <c r="K39" s="43"/>
      <c r="L39" s="43"/>
      <c r="M39" s="43"/>
      <c r="N39" s="43"/>
      <c r="O39" s="43"/>
      <c r="P39" s="22"/>
      <c r="Q39" s="43"/>
      <c r="R39" s="43"/>
      <c r="S39" s="43"/>
      <c r="T39" s="43"/>
      <c r="U39" s="43"/>
      <c r="V39" s="43"/>
      <c r="W39" s="22"/>
      <c r="X39" s="43"/>
      <c r="Y39" s="43"/>
      <c r="Z39" s="43"/>
      <c r="AA39" s="43"/>
      <c r="AB39" s="43"/>
      <c r="AC39" s="43"/>
      <c r="AD39" s="22"/>
      <c r="AE39" s="43"/>
      <c r="AF39" s="43"/>
      <c r="AG39" s="43"/>
      <c r="AH39" s="43"/>
      <c r="AI39" s="43"/>
      <c r="AJ39" s="43"/>
      <c r="AK39" s="46">
        <f t="shared" si="6"/>
        <v>0</v>
      </c>
      <c r="AL39" s="46">
        <f t="shared" si="7"/>
        <v>0</v>
      </c>
      <c r="AM39" s="150"/>
      <c r="AN39" s="151"/>
      <c r="AO39" s="151"/>
      <c r="AP39" s="152"/>
    </row>
    <row r="40" spans="1:42" ht="14.1" customHeight="1">
      <c r="A40" s="42">
        <v>12</v>
      </c>
      <c r="B40" s="52"/>
      <c r="C40" s="43"/>
      <c r="D40" s="43"/>
      <c r="E40" s="43"/>
      <c r="F40" s="43"/>
      <c r="G40" s="43"/>
      <c r="H40" s="43"/>
      <c r="I40" s="22"/>
      <c r="J40" s="43"/>
      <c r="K40" s="43"/>
      <c r="L40" s="43"/>
      <c r="M40" s="43"/>
      <c r="N40" s="43"/>
      <c r="O40" s="43"/>
      <c r="P40" s="22"/>
      <c r="Q40" s="43"/>
      <c r="R40" s="43"/>
      <c r="S40" s="43"/>
      <c r="T40" s="43"/>
      <c r="U40" s="43"/>
      <c r="V40" s="43"/>
      <c r="W40" s="22"/>
      <c r="X40" s="43"/>
      <c r="Y40" s="43"/>
      <c r="Z40" s="43"/>
      <c r="AA40" s="43"/>
      <c r="AB40" s="43"/>
      <c r="AC40" s="43"/>
      <c r="AD40" s="22"/>
      <c r="AE40" s="43"/>
      <c r="AF40" s="43"/>
      <c r="AG40" s="43"/>
      <c r="AH40" s="43"/>
      <c r="AI40" s="43"/>
      <c r="AJ40" s="43"/>
      <c r="AK40" s="46">
        <f t="shared" si="6"/>
        <v>0</v>
      </c>
      <c r="AL40" s="46">
        <f t="shared" si="7"/>
        <v>0</v>
      </c>
      <c r="AM40" s="150"/>
      <c r="AN40" s="151"/>
      <c r="AO40" s="151"/>
      <c r="AP40" s="152"/>
    </row>
    <row r="41" spans="1:42" ht="14.1" customHeight="1">
      <c r="A41" s="42">
        <v>13</v>
      </c>
      <c r="B41" s="52"/>
      <c r="C41" s="43"/>
      <c r="D41" s="43"/>
      <c r="E41" s="43"/>
      <c r="F41" s="43"/>
      <c r="G41" s="43"/>
      <c r="H41" s="43"/>
      <c r="I41" s="22"/>
      <c r="J41" s="43"/>
      <c r="K41" s="43"/>
      <c r="L41" s="43"/>
      <c r="M41" s="43"/>
      <c r="N41" s="43"/>
      <c r="O41" s="43"/>
      <c r="P41" s="22"/>
      <c r="Q41" s="43"/>
      <c r="R41" s="43"/>
      <c r="S41" s="43"/>
      <c r="T41" s="43"/>
      <c r="U41" s="43"/>
      <c r="V41" s="43"/>
      <c r="W41" s="22"/>
      <c r="X41" s="43"/>
      <c r="Y41" s="43"/>
      <c r="Z41" s="43"/>
      <c r="AA41" s="43"/>
      <c r="AB41" s="43"/>
      <c r="AC41" s="43"/>
      <c r="AD41" s="22"/>
      <c r="AE41" s="43"/>
      <c r="AF41" s="43"/>
      <c r="AG41" s="43"/>
      <c r="AH41" s="43"/>
      <c r="AI41" s="43"/>
      <c r="AJ41" s="43"/>
      <c r="AK41" s="46">
        <f t="shared" si="6"/>
        <v>0</v>
      </c>
      <c r="AL41" s="46">
        <f t="shared" si="7"/>
        <v>0</v>
      </c>
      <c r="AM41" s="150"/>
      <c r="AN41" s="151"/>
      <c r="AO41" s="151"/>
      <c r="AP41" s="152"/>
    </row>
    <row r="42" spans="1:42" ht="14.1" customHeight="1">
      <c r="A42" s="42">
        <v>14</v>
      </c>
      <c r="B42" s="52"/>
      <c r="C42" s="43"/>
      <c r="D42" s="43"/>
      <c r="E42" s="43"/>
      <c r="F42" s="43"/>
      <c r="G42" s="43"/>
      <c r="H42" s="43"/>
      <c r="I42" s="22"/>
      <c r="J42" s="43"/>
      <c r="K42" s="43"/>
      <c r="L42" s="43"/>
      <c r="M42" s="43"/>
      <c r="N42" s="43"/>
      <c r="O42" s="43"/>
      <c r="P42" s="22"/>
      <c r="Q42" s="43"/>
      <c r="R42" s="43"/>
      <c r="S42" s="43"/>
      <c r="T42" s="43"/>
      <c r="U42" s="43"/>
      <c r="V42" s="43"/>
      <c r="W42" s="22"/>
      <c r="X42" s="43"/>
      <c r="Y42" s="43"/>
      <c r="Z42" s="43"/>
      <c r="AA42" s="43"/>
      <c r="AB42" s="43"/>
      <c r="AC42" s="43"/>
      <c r="AD42" s="22"/>
      <c r="AE42" s="43"/>
      <c r="AF42" s="43"/>
      <c r="AG42" s="43"/>
      <c r="AH42" s="43"/>
      <c r="AI42" s="43"/>
      <c r="AJ42" s="43"/>
      <c r="AK42" s="46">
        <f t="shared" si="6"/>
        <v>0</v>
      </c>
      <c r="AL42" s="46">
        <f t="shared" si="7"/>
        <v>0</v>
      </c>
      <c r="AM42" s="150"/>
      <c r="AN42" s="151"/>
      <c r="AO42" s="151"/>
      <c r="AP42" s="152"/>
    </row>
    <row r="43" spans="1:42" ht="14.1" customHeight="1">
      <c r="A43" s="42">
        <v>15</v>
      </c>
      <c r="B43" s="52"/>
      <c r="C43" s="43"/>
      <c r="D43" s="43"/>
      <c r="E43" s="43"/>
      <c r="F43" s="43"/>
      <c r="G43" s="43"/>
      <c r="H43" s="43"/>
      <c r="I43" s="22"/>
      <c r="J43" s="43"/>
      <c r="K43" s="43"/>
      <c r="L43" s="43"/>
      <c r="M43" s="43"/>
      <c r="N43" s="43"/>
      <c r="O43" s="43"/>
      <c r="P43" s="22"/>
      <c r="Q43" s="43"/>
      <c r="R43" s="43"/>
      <c r="S43" s="43"/>
      <c r="T43" s="43"/>
      <c r="U43" s="43"/>
      <c r="V43" s="43"/>
      <c r="W43" s="22"/>
      <c r="X43" s="43"/>
      <c r="Y43" s="43"/>
      <c r="Z43" s="43"/>
      <c r="AA43" s="43"/>
      <c r="AB43" s="43"/>
      <c r="AC43" s="43"/>
      <c r="AD43" s="22"/>
      <c r="AE43" s="43"/>
      <c r="AF43" s="43"/>
      <c r="AG43" s="43"/>
      <c r="AH43" s="43"/>
      <c r="AI43" s="43"/>
      <c r="AJ43" s="43"/>
      <c r="AK43" s="46">
        <f t="shared" si="6"/>
        <v>0</v>
      </c>
      <c r="AL43" s="46">
        <f t="shared" si="7"/>
        <v>0</v>
      </c>
      <c r="AM43" s="150"/>
      <c r="AN43" s="151"/>
      <c r="AO43" s="151"/>
      <c r="AP43" s="152"/>
    </row>
    <row r="44" spans="1:42" ht="14.1" customHeight="1">
      <c r="A44" s="42">
        <v>16</v>
      </c>
      <c r="B44" s="52"/>
      <c r="C44" s="43"/>
      <c r="D44" s="43"/>
      <c r="E44" s="43"/>
      <c r="F44" s="43"/>
      <c r="G44" s="43"/>
      <c r="H44" s="43"/>
      <c r="I44" s="22"/>
      <c r="J44" s="43"/>
      <c r="K44" s="43"/>
      <c r="L44" s="43"/>
      <c r="M44" s="43"/>
      <c r="N44" s="43"/>
      <c r="O44" s="43"/>
      <c r="P44" s="22"/>
      <c r="Q44" s="43"/>
      <c r="R44" s="43"/>
      <c r="S44" s="43"/>
      <c r="T44" s="43"/>
      <c r="U44" s="43"/>
      <c r="V44" s="43"/>
      <c r="W44" s="22"/>
      <c r="X44" s="43"/>
      <c r="Y44" s="43"/>
      <c r="Z44" s="43"/>
      <c r="AA44" s="43"/>
      <c r="AB44" s="43"/>
      <c r="AC44" s="43"/>
      <c r="AD44" s="22"/>
      <c r="AE44" s="43"/>
      <c r="AF44" s="43"/>
      <c r="AG44" s="43"/>
      <c r="AH44" s="43"/>
      <c r="AI44" s="43"/>
      <c r="AJ44" s="43"/>
      <c r="AK44" s="46">
        <f t="shared" si="6"/>
        <v>0</v>
      </c>
      <c r="AL44" s="46">
        <f t="shared" si="7"/>
        <v>0</v>
      </c>
      <c r="AM44" s="150"/>
      <c r="AN44" s="151"/>
      <c r="AO44" s="151"/>
      <c r="AP44" s="152"/>
    </row>
    <row r="45" spans="1:42" ht="14.1" customHeight="1">
      <c r="A45" s="42">
        <v>17</v>
      </c>
      <c r="B45" s="52"/>
      <c r="C45" s="43"/>
      <c r="D45" s="43"/>
      <c r="E45" s="43"/>
      <c r="F45" s="43"/>
      <c r="G45" s="43"/>
      <c r="H45" s="43"/>
      <c r="I45" s="22"/>
      <c r="J45" s="43"/>
      <c r="K45" s="43"/>
      <c r="L45" s="43"/>
      <c r="M45" s="43"/>
      <c r="N45" s="43"/>
      <c r="O45" s="43"/>
      <c r="P45" s="22"/>
      <c r="Q45" s="43"/>
      <c r="R45" s="43"/>
      <c r="S45" s="43"/>
      <c r="T45" s="43"/>
      <c r="U45" s="43"/>
      <c r="V45" s="43"/>
      <c r="W45" s="22"/>
      <c r="X45" s="43"/>
      <c r="Y45" s="43"/>
      <c r="Z45" s="43"/>
      <c r="AA45" s="43"/>
      <c r="AB45" s="43"/>
      <c r="AC45" s="43"/>
      <c r="AD45" s="22"/>
      <c r="AE45" s="43"/>
      <c r="AF45" s="43"/>
      <c r="AG45" s="43"/>
      <c r="AH45" s="43"/>
      <c r="AI45" s="43"/>
      <c r="AJ45" s="43"/>
      <c r="AK45" s="46">
        <f t="shared" si="6"/>
        <v>0</v>
      </c>
      <c r="AL45" s="46">
        <f t="shared" si="7"/>
        <v>0</v>
      </c>
      <c r="AM45" s="150"/>
      <c r="AN45" s="151"/>
      <c r="AO45" s="151"/>
      <c r="AP45" s="152"/>
    </row>
    <row r="46" spans="1:42" ht="14.1" customHeight="1">
      <c r="A46" s="42">
        <v>18</v>
      </c>
      <c r="B46" s="52"/>
      <c r="C46" s="43"/>
      <c r="D46" s="43"/>
      <c r="E46" s="43"/>
      <c r="F46" s="43"/>
      <c r="G46" s="43"/>
      <c r="H46" s="43"/>
      <c r="I46" s="22"/>
      <c r="J46" s="43"/>
      <c r="K46" s="43"/>
      <c r="L46" s="43"/>
      <c r="M46" s="43"/>
      <c r="N46" s="43"/>
      <c r="O46" s="43"/>
      <c r="P46" s="22"/>
      <c r="Q46" s="43"/>
      <c r="R46" s="43"/>
      <c r="S46" s="43"/>
      <c r="T46" s="43"/>
      <c r="U46" s="43"/>
      <c r="V46" s="43"/>
      <c r="W46" s="22"/>
      <c r="X46" s="43"/>
      <c r="Y46" s="43"/>
      <c r="Z46" s="43"/>
      <c r="AA46" s="43"/>
      <c r="AB46" s="43"/>
      <c r="AC46" s="43"/>
      <c r="AD46" s="22"/>
      <c r="AE46" s="43"/>
      <c r="AF46" s="43"/>
      <c r="AG46" s="43"/>
      <c r="AH46" s="43"/>
      <c r="AI46" s="43"/>
      <c r="AJ46" s="43"/>
      <c r="AK46" s="46">
        <f t="shared" si="6"/>
        <v>0</v>
      </c>
      <c r="AL46" s="46">
        <f t="shared" si="7"/>
        <v>0</v>
      </c>
      <c r="AM46" s="150"/>
      <c r="AN46" s="151"/>
      <c r="AO46" s="151"/>
      <c r="AP46" s="152"/>
    </row>
    <row r="47" spans="1:42" ht="14.1" customHeight="1">
      <c r="A47" s="42">
        <v>19</v>
      </c>
      <c r="B47" s="56"/>
      <c r="C47" s="43"/>
      <c r="D47" s="43"/>
      <c r="E47" s="43"/>
      <c r="F47" s="43"/>
      <c r="G47" s="43"/>
      <c r="H47" s="43"/>
      <c r="I47" s="22"/>
      <c r="J47" s="43"/>
      <c r="K47" s="43"/>
      <c r="L47" s="43"/>
      <c r="M47" s="43"/>
      <c r="N47" s="43"/>
      <c r="O47" s="43"/>
      <c r="P47" s="22"/>
      <c r="Q47" s="43"/>
      <c r="R47" s="43"/>
      <c r="S47" s="43"/>
      <c r="T47" s="43"/>
      <c r="U47" s="43"/>
      <c r="V47" s="43"/>
      <c r="W47" s="22"/>
      <c r="X47" s="43"/>
      <c r="Y47" s="43"/>
      <c r="Z47" s="43"/>
      <c r="AA47" s="43"/>
      <c r="AB47" s="43"/>
      <c r="AC47" s="43"/>
      <c r="AD47" s="22"/>
      <c r="AE47" s="43"/>
      <c r="AF47" s="43"/>
      <c r="AG47" s="43"/>
      <c r="AH47" s="43"/>
      <c r="AI47" s="43"/>
      <c r="AJ47" s="43"/>
      <c r="AK47" s="46">
        <f t="shared" si="6"/>
        <v>0</v>
      </c>
      <c r="AL47" s="46">
        <f t="shared" si="7"/>
        <v>0</v>
      </c>
      <c r="AM47" s="150"/>
      <c r="AN47" s="151"/>
      <c r="AO47" s="151"/>
      <c r="AP47" s="152"/>
    </row>
    <row r="48" spans="1:42" ht="14.1" customHeight="1">
      <c r="A48" s="42">
        <v>20</v>
      </c>
      <c r="B48" s="52"/>
      <c r="C48" s="43"/>
      <c r="D48" s="43"/>
      <c r="E48" s="43"/>
      <c r="F48" s="43"/>
      <c r="G48" s="43"/>
      <c r="H48" s="43"/>
      <c r="I48" s="22"/>
      <c r="J48" s="43"/>
      <c r="K48" s="43"/>
      <c r="L48" s="43"/>
      <c r="M48" s="43"/>
      <c r="N48" s="43"/>
      <c r="O48" s="43"/>
      <c r="P48" s="22"/>
      <c r="Q48" s="43"/>
      <c r="R48" s="43"/>
      <c r="S48" s="43"/>
      <c r="T48" s="43"/>
      <c r="U48" s="43"/>
      <c r="V48" s="43"/>
      <c r="W48" s="22"/>
      <c r="X48" s="43"/>
      <c r="Y48" s="43"/>
      <c r="Z48" s="43"/>
      <c r="AA48" s="43"/>
      <c r="AB48" s="43"/>
      <c r="AC48" s="43"/>
      <c r="AD48" s="22"/>
      <c r="AE48" s="43"/>
      <c r="AF48" s="43"/>
      <c r="AG48" s="43"/>
      <c r="AH48" s="43"/>
      <c r="AI48" s="43"/>
      <c r="AJ48" s="43"/>
      <c r="AK48" s="46">
        <f t="shared" si="6"/>
        <v>0</v>
      </c>
      <c r="AL48" s="46">
        <f t="shared" si="7"/>
        <v>0</v>
      </c>
      <c r="AM48" s="150"/>
      <c r="AN48" s="151"/>
      <c r="AO48" s="151"/>
      <c r="AP48" s="152"/>
    </row>
    <row r="49" spans="1:42" ht="14.1" customHeight="1">
      <c r="A49" s="42">
        <v>21</v>
      </c>
      <c r="B49" s="52"/>
      <c r="C49" s="43"/>
      <c r="D49" s="43"/>
      <c r="E49" s="43"/>
      <c r="F49" s="43"/>
      <c r="G49" s="43"/>
      <c r="H49" s="43"/>
      <c r="I49" s="22"/>
      <c r="J49" s="43"/>
      <c r="K49" s="43"/>
      <c r="L49" s="43"/>
      <c r="M49" s="43"/>
      <c r="N49" s="43"/>
      <c r="O49" s="43"/>
      <c r="P49" s="22"/>
      <c r="Q49" s="43"/>
      <c r="R49" s="43"/>
      <c r="S49" s="43"/>
      <c r="T49" s="43"/>
      <c r="U49" s="43"/>
      <c r="V49" s="43"/>
      <c r="W49" s="22"/>
      <c r="X49" s="43"/>
      <c r="Y49" s="43"/>
      <c r="Z49" s="43"/>
      <c r="AA49" s="43"/>
      <c r="AB49" s="43"/>
      <c r="AC49" s="43"/>
      <c r="AD49" s="22"/>
      <c r="AE49" s="43"/>
      <c r="AF49" s="43"/>
      <c r="AG49" s="43"/>
      <c r="AH49" s="43"/>
      <c r="AI49" s="43"/>
      <c r="AJ49" s="43"/>
      <c r="AK49" s="46">
        <f t="shared" si="6"/>
        <v>0</v>
      </c>
      <c r="AL49" s="46">
        <f t="shared" si="7"/>
        <v>0</v>
      </c>
      <c r="AM49" s="150"/>
      <c r="AN49" s="151"/>
      <c r="AO49" s="151"/>
      <c r="AP49" s="152"/>
    </row>
    <row r="50" spans="1:42" ht="14.1" customHeight="1">
      <c r="A50" s="42">
        <v>22</v>
      </c>
      <c r="B50" s="52"/>
      <c r="C50" s="43"/>
      <c r="D50" s="43"/>
      <c r="E50" s="43"/>
      <c r="F50" s="43"/>
      <c r="G50" s="43"/>
      <c r="H50" s="43"/>
      <c r="I50" s="22"/>
      <c r="J50" s="43"/>
      <c r="K50" s="43"/>
      <c r="L50" s="43"/>
      <c r="M50" s="43"/>
      <c r="N50" s="43"/>
      <c r="O50" s="43"/>
      <c r="P50" s="22"/>
      <c r="Q50" s="43"/>
      <c r="R50" s="43"/>
      <c r="S50" s="43"/>
      <c r="T50" s="43"/>
      <c r="U50" s="43"/>
      <c r="V50" s="43"/>
      <c r="W50" s="22"/>
      <c r="X50" s="43"/>
      <c r="Y50" s="43"/>
      <c r="Z50" s="43"/>
      <c r="AA50" s="43"/>
      <c r="AB50" s="43"/>
      <c r="AC50" s="43"/>
      <c r="AD50" s="22"/>
      <c r="AE50" s="43"/>
      <c r="AF50" s="43"/>
      <c r="AG50" s="43"/>
      <c r="AH50" s="43"/>
      <c r="AI50" s="43"/>
      <c r="AJ50" s="43"/>
      <c r="AK50" s="46">
        <f t="shared" si="6"/>
        <v>0</v>
      </c>
      <c r="AL50" s="46">
        <f t="shared" si="7"/>
        <v>0</v>
      </c>
      <c r="AM50" s="39"/>
      <c r="AN50" s="40"/>
      <c r="AO50" s="40"/>
      <c r="AP50" s="41"/>
    </row>
    <row r="51" spans="1:42" ht="14.1" customHeight="1">
      <c r="A51" s="42">
        <v>23</v>
      </c>
      <c r="B51" s="52"/>
      <c r="C51" s="43"/>
      <c r="D51" s="43"/>
      <c r="E51" s="43"/>
      <c r="F51" s="43"/>
      <c r="G51" s="43"/>
      <c r="H51" s="43"/>
      <c r="I51" s="22"/>
      <c r="J51" s="43"/>
      <c r="K51" s="43"/>
      <c r="L51" s="43"/>
      <c r="M51" s="43"/>
      <c r="N51" s="43"/>
      <c r="O51" s="43"/>
      <c r="P51" s="22"/>
      <c r="Q51" s="43"/>
      <c r="R51" s="43"/>
      <c r="S51" s="43"/>
      <c r="T51" s="43"/>
      <c r="U51" s="43"/>
      <c r="V51" s="43"/>
      <c r="W51" s="22"/>
      <c r="X51" s="43"/>
      <c r="Y51" s="43"/>
      <c r="Z51" s="43"/>
      <c r="AA51" s="43"/>
      <c r="AB51" s="43"/>
      <c r="AC51" s="43"/>
      <c r="AD51" s="22"/>
      <c r="AE51" s="43"/>
      <c r="AF51" s="43"/>
      <c r="AG51" s="43"/>
      <c r="AH51" s="43"/>
      <c r="AI51" s="43"/>
      <c r="AJ51" s="43"/>
      <c r="AK51" s="46">
        <f t="shared" si="6"/>
        <v>0</v>
      </c>
      <c r="AL51" s="46">
        <f t="shared" si="7"/>
        <v>0</v>
      </c>
      <c r="AM51" s="39"/>
      <c r="AN51" s="40"/>
      <c r="AO51" s="40"/>
      <c r="AP51" s="41"/>
    </row>
    <row r="52" spans="1:42" ht="14.1" customHeight="1">
      <c r="A52" s="42">
        <v>24</v>
      </c>
      <c r="B52" s="52"/>
      <c r="C52" s="43"/>
      <c r="D52" s="43"/>
      <c r="E52" s="43"/>
      <c r="F52" s="43"/>
      <c r="G52" s="43"/>
      <c r="H52" s="43"/>
      <c r="I52" s="22"/>
      <c r="J52" s="43"/>
      <c r="K52" s="43"/>
      <c r="L52" s="43"/>
      <c r="M52" s="43"/>
      <c r="N52" s="43"/>
      <c r="O52" s="43"/>
      <c r="P52" s="22"/>
      <c r="Q52" s="43"/>
      <c r="R52" s="43"/>
      <c r="S52" s="43"/>
      <c r="T52" s="43"/>
      <c r="U52" s="43"/>
      <c r="V52" s="43"/>
      <c r="W52" s="22"/>
      <c r="X52" s="43"/>
      <c r="Y52" s="43"/>
      <c r="Z52" s="43"/>
      <c r="AA52" s="43"/>
      <c r="AB52" s="43"/>
      <c r="AC52" s="43"/>
      <c r="AD52" s="22"/>
      <c r="AE52" s="43"/>
      <c r="AF52" s="43"/>
      <c r="AG52" s="43"/>
      <c r="AH52" s="43"/>
      <c r="AI52" s="43"/>
      <c r="AJ52" s="43"/>
      <c r="AK52" s="46">
        <f t="shared" si="6"/>
        <v>0</v>
      </c>
      <c r="AL52" s="46">
        <f t="shared" si="7"/>
        <v>0</v>
      </c>
      <c r="AM52" s="39"/>
      <c r="AN52" s="40"/>
      <c r="AO52" s="40"/>
      <c r="AP52" s="41"/>
    </row>
    <row r="53" spans="1:42" ht="14.1" customHeight="1">
      <c r="A53" s="42">
        <v>25</v>
      </c>
      <c r="B53" s="52"/>
      <c r="C53" s="43"/>
      <c r="D53" s="43"/>
      <c r="E53" s="43"/>
      <c r="F53" s="43"/>
      <c r="G53" s="43"/>
      <c r="H53" s="43"/>
      <c r="I53" s="22"/>
      <c r="J53" s="43"/>
      <c r="K53" s="43"/>
      <c r="L53" s="43"/>
      <c r="M53" s="43"/>
      <c r="N53" s="43"/>
      <c r="O53" s="43"/>
      <c r="P53" s="22"/>
      <c r="Q53" s="43"/>
      <c r="R53" s="43"/>
      <c r="S53" s="43"/>
      <c r="T53" s="43"/>
      <c r="U53" s="43"/>
      <c r="V53" s="43"/>
      <c r="W53" s="22"/>
      <c r="X53" s="43"/>
      <c r="Y53" s="43"/>
      <c r="Z53" s="43"/>
      <c r="AA53" s="43"/>
      <c r="AB53" s="43"/>
      <c r="AC53" s="43"/>
      <c r="AD53" s="22"/>
      <c r="AE53" s="43"/>
      <c r="AF53" s="43"/>
      <c r="AG53" s="43"/>
      <c r="AH53" s="43"/>
      <c r="AI53" s="43"/>
      <c r="AJ53" s="43"/>
      <c r="AK53" s="46">
        <f t="shared" si="6"/>
        <v>0</v>
      </c>
      <c r="AL53" s="46">
        <f t="shared" si="7"/>
        <v>0</v>
      </c>
      <c r="AM53" s="39"/>
      <c r="AN53" s="40"/>
      <c r="AO53" s="40"/>
      <c r="AP53" s="41"/>
    </row>
    <row r="54" spans="1:42" ht="14.1" customHeight="1">
      <c r="A54" s="42">
        <v>26</v>
      </c>
      <c r="B54" s="52"/>
      <c r="C54" s="43"/>
      <c r="D54" s="43"/>
      <c r="E54" s="43"/>
      <c r="F54" s="43"/>
      <c r="G54" s="43"/>
      <c r="H54" s="43"/>
      <c r="I54" s="22"/>
      <c r="J54" s="43"/>
      <c r="K54" s="43"/>
      <c r="L54" s="43"/>
      <c r="M54" s="43"/>
      <c r="N54" s="43"/>
      <c r="O54" s="43"/>
      <c r="P54" s="22"/>
      <c r="Q54" s="43"/>
      <c r="R54" s="43"/>
      <c r="S54" s="43"/>
      <c r="T54" s="43"/>
      <c r="U54" s="43"/>
      <c r="V54" s="43"/>
      <c r="W54" s="22"/>
      <c r="X54" s="43"/>
      <c r="Y54" s="43"/>
      <c r="Z54" s="43"/>
      <c r="AA54" s="43"/>
      <c r="AB54" s="43"/>
      <c r="AC54" s="43"/>
      <c r="AD54" s="22"/>
      <c r="AE54" s="43"/>
      <c r="AF54" s="43"/>
      <c r="AG54" s="43"/>
      <c r="AH54" s="43"/>
      <c r="AI54" s="43"/>
      <c r="AJ54" s="43"/>
      <c r="AK54" s="46">
        <f t="shared" si="6"/>
        <v>0</v>
      </c>
      <c r="AL54" s="46">
        <f t="shared" si="7"/>
        <v>0</v>
      </c>
      <c r="AM54" s="39"/>
      <c r="AN54" s="40"/>
      <c r="AO54" s="40"/>
      <c r="AP54" s="41"/>
    </row>
    <row r="55" spans="1:42" ht="14.1" customHeight="1">
      <c r="A55" s="42">
        <v>27</v>
      </c>
      <c r="B55" s="52"/>
      <c r="C55" s="43"/>
      <c r="D55" s="43"/>
      <c r="E55" s="43"/>
      <c r="F55" s="43"/>
      <c r="G55" s="43"/>
      <c r="H55" s="43"/>
      <c r="I55" s="22"/>
      <c r="J55" s="43"/>
      <c r="K55" s="43"/>
      <c r="L55" s="43"/>
      <c r="M55" s="43"/>
      <c r="N55" s="43"/>
      <c r="O55" s="43"/>
      <c r="P55" s="22"/>
      <c r="Q55" s="43"/>
      <c r="R55" s="43"/>
      <c r="S55" s="43"/>
      <c r="T55" s="43"/>
      <c r="U55" s="43"/>
      <c r="V55" s="43"/>
      <c r="W55" s="22"/>
      <c r="X55" s="43"/>
      <c r="Y55" s="43"/>
      <c r="Z55" s="43"/>
      <c r="AA55" s="43"/>
      <c r="AB55" s="43"/>
      <c r="AC55" s="43"/>
      <c r="AD55" s="22"/>
      <c r="AE55" s="43"/>
      <c r="AF55" s="43"/>
      <c r="AG55" s="43"/>
      <c r="AH55" s="43"/>
      <c r="AI55" s="43"/>
      <c r="AJ55" s="43"/>
      <c r="AK55" s="46">
        <f t="shared" si="6"/>
        <v>0</v>
      </c>
      <c r="AL55" s="46">
        <f t="shared" si="7"/>
        <v>0</v>
      </c>
      <c r="AM55" s="39"/>
      <c r="AN55" s="40"/>
      <c r="AO55" s="40"/>
      <c r="AP55" s="41"/>
    </row>
    <row r="56" spans="1:42" ht="14.1" customHeight="1">
      <c r="A56" s="42">
        <v>28</v>
      </c>
      <c r="B56" s="52"/>
      <c r="C56" s="43"/>
      <c r="D56" s="43"/>
      <c r="E56" s="43"/>
      <c r="F56" s="43"/>
      <c r="G56" s="43"/>
      <c r="H56" s="43"/>
      <c r="I56" s="22"/>
      <c r="J56" s="43"/>
      <c r="K56" s="43"/>
      <c r="L56" s="43"/>
      <c r="M56" s="43"/>
      <c r="N56" s="43"/>
      <c r="O56" s="43"/>
      <c r="P56" s="22"/>
      <c r="Q56" s="43"/>
      <c r="R56" s="43"/>
      <c r="S56" s="43"/>
      <c r="T56" s="43"/>
      <c r="U56" s="43"/>
      <c r="V56" s="43"/>
      <c r="W56" s="22"/>
      <c r="X56" s="43"/>
      <c r="Y56" s="43"/>
      <c r="Z56" s="43"/>
      <c r="AA56" s="43"/>
      <c r="AB56" s="43"/>
      <c r="AC56" s="43"/>
      <c r="AD56" s="22"/>
      <c r="AE56" s="43"/>
      <c r="AF56" s="43"/>
      <c r="AG56" s="43"/>
      <c r="AH56" s="43"/>
      <c r="AI56" s="43"/>
      <c r="AJ56" s="43"/>
      <c r="AK56" s="46">
        <f t="shared" si="6"/>
        <v>0</v>
      </c>
      <c r="AL56" s="46">
        <f t="shared" si="7"/>
        <v>0</v>
      </c>
      <c r="AM56" s="39"/>
      <c r="AN56" s="40"/>
      <c r="AO56" s="40"/>
      <c r="AP56" s="41"/>
    </row>
    <row r="57" spans="1:42" ht="14.1" customHeight="1">
      <c r="A57" s="42">
        <v>29</v>
      </c>
      <c r="B57" s="52"/>
      <c r="C57" s="43"/>
      <c r="D57" s="43"/>
      <c r="E57" s="43"/>
      <c r="F57" s="43"/>
      <c r="G57" s="43"/>
      <c r="H57" s="43"/>
      <c r="I57" s="22"/>
      <c r="J57" s="43"/>
      <c r="K57" s="43"/>
      <c r="L57" s="43"/>
      <c r="M57" s="43"/>
      <c r="N57" s="43"/>
      <c r="O57" s="43"/>
      <c r="P57" s="22"/>
      <c r="Q57" s="43"/>
      <c r="R57" s="43"/>
      <c r="S57" s="43"/>
      <c r="T57" s="43"/>
      <c r="U57" s="43"/>
      <c r="V57" s="43"/>
      <c r="W57" s="22"/>
      <c r="X57" s="43"/>
      <c r="Y57" s="43"/>
      <c r="Z57" s="43"/>
      <c r="AA57" s="43"/>
      <c r="AB57" s="43"/>
      <c r="AC57" s="43"/>
      <c r="AD57" s="22"/>
      <c r="AE57" s="43"/>
      <c r="AF57" s="43"/>
      <c r="AG57" s="43"/>
      <c r="AH57" s="43"/>
      <c r="AI57" s="43"/>
      <c r="AJ57" s="43"/>
      <c r="AK57" s="46">
        <f t="shared" si="6"/>
        <v>0</v>
      </c>
      <c r="AL57" s="46">
        <f t="shared" si="7"/>
        <v>0</v>
      </c>
      <c r="AM57" s="39"/>
      <c r="AN57" s="40"/>
      <c r="AO57" s="40"/>
      <c r="AP57" s="41"/>
    </row>
    <row r="58" spans="1:42" ht="14.1" customHeight="1">
      <c r="A58" s="42">
        <v>30</v>
      </c>
      <c r="B58" s="52"/>
      <c r="C58" s="43"/>
      <c r="D58" s="43"/>
      <c r="E58" s="43"/>
      <c r="F58" s="43"/>
      <c r="G58" s="43"/>
      <c r="H58" s="43"/>
      <c r="I58" s="22"/>
      <c r="J58" s="43"/>
      <c r="K58" s="43"/>
      <c r="L58" s="43"/>
      <c r="M58" s="43"/>
      <c r="N58" s="43"/>
      <c r="O58" s="43"/>
      <c r="P58" s="22"/>
      <c r="Q58" s="43"/>
      <c r="R58" s="43"/>
      <c r="S58" s="43"/>
      <c r="T58" s="43"/>
      <c r="U58" s="43"/>
      <c r="V58" s="43"/>
      <c r="W58" s="22"/>
      <c r="X58" s="43"/>
      <c r="Y58" s="43"/>
      <c r="Z58" s="43"/>
      <c r="AA58" s="43"/>
      <c r="AB58" s="43"/>
      <c r="AC58" s="43"/>
      <c r="AD58" s="22"/>
      <c r="AE58" s="43"/>
      <c r="AF58" s="43"/>
      <c r="AG58" s="43"/>
      <c r="AH58" s="43"/>
      <c r="AI58" s="43"/>
      <c r="AJ58" s="43"/>
      <c r="AK58" s="46">
        <f t="shared" si="6"/>
        <v>0</v>
      </c>
      <c r="AL58" s="46">
        <f t="shared" si="7"/>
        <v>0</v>
      </c>
      <c r="AM58" s="39"/>
      <c r="AN58" s="40"/>
      <c r="AO58" s="40"/>
      <c r="AP58" s="41"/>
    </row>
    <row r="59" spans="1:42" ht="14.1" customHeight="1">
      <c r="A59" s="42">
        <v>31</v>
      </c>
      <c r="B59" s="52"/>
      <c r="C59" s="43"/>
      <c r="D59" s="43"/>
      <c r="E59" s="43"/>
      <c r="F59" s="43"/>
      <c r="G59" s="43"/>
      <c r="H59" s="43"/>
      <c r="I59" s="22"/>
      <c r="J59" s="43"/>
      <c r="K59" s="43"/>
      <c r="L59" s="43"/>
      <c r="M59" s="43"/>
      <c r="N59" s="43"/>
      <c r="O59" s="43"/>
      <c r="P59" s="22"/>
      <c r="Q59" s="43"/>
      <c r="R59" s="43"/>
      <c r="S59" s="43"/>
      <c r="T59" s="43"/>
      <c r="U59" s="43"/>
      <c r="V59" s="43"/>
      <c r="W59" s="22"/>
      <c r="X59" s="43"/>
      <c r="Y59" s="43"/>
      <c r="Z59" s="43"/>
      <c r="AA59" s="43"/>
      <c r="AB59" s="43"/>
      <c r="AC59" s="43"/>
      <c r="AD59" s="22"/>
      <c r="AE59" s="43"/>
      <c r="AF59" s="43"/>
      <c r="AG59" s="43"/>
      <c r="AH59" s="43"/>
      <c r="AI59" s="43"/>
      <c r="AJ59" s="43"/>
      <c r="AK59" s="46">
        <f t="shared" si="6"/>
        <v>0</v>
      </c>
      <c r="AL59" s="46">
        <f t="shared" si="7"/>
        <v>0</v>
      </c>
      <c r="AM59" s="39"/>
      <c r="AN59" s="40"/>
      <c r="AO59" s="40"/>
      <c r="AP59" s="41"/>
    </row>
    <row r="60" spans="1:42" ht="14.1" customHeight="1">
      <c r="A60" s="42">
        <v>32</v>
      </c>
      <c r="B60" s="52"/>
      <c r="C60" s="43"/>
      <c r="D60" s="43"/>
      <c r="E60" s="43"/>
      <c r="F60" s="43"/>
      <c r="G60" s="43"/>
      <c r="H60" s="43"/>
      <c r="I60" s="22"/>
      <c r="J60" s="43"/>
      <c r="K60" s="43"/>
      <c r="L60" s="43"/>
      <c r="M60" s="43"/>
      <c r="N60" s="43"/>
      <c r="O60" s="43"/>
      <c r="P60" s="22"/>
      <c r="Q60" s="43"/>
      <c r="R60" s="43"/>
      <c r="S60" s="43"/>
      <c r="T60" s="43"/>
      <c r="U60" s="43"/>
      <c r="V60" s="43"/>
      <c r="W60" s="22"/>
      <c r="X60" s="43"/>
      <c r="Y60" s="43"/>
      <c r="Z60" s="43"/>
      <c r="AA60" s="43"/>
      <c r="AB60" s="43"/>
      <c r="AC60" s="43"/>
      <c r="AD60" s="22"/>
      <c r="AE60" s="43"/>
      <c r="AF60" s="43"/>
      <c r="AG60" s="43"/>
      <c r="AH60" s="43"/>
      <c r="AI60" s="43"/>
      <c r="AJ60" s="43"/>
      <c r="AK60" s="46">
        <f t="shared" si="6"/>
        <v>0</v>
      </c>
      <c r="AL60" s="46">
        <f t="shared" si="7"/>
        <v>0</v>
      </c>
      <c r="AM60" s="39"/>
      <c r="AN60" s="40"/>
      <c r="AO60" s="40"/>
      <c r="AP60" s="41"/>
    </row>
    <row r="61" spans="1:42" ht="14.1" customHeight="1">
      <c r="A61" s="42">
        <v>33</v>
      </c>
      <c r="B61" s="52"/>
      <c r="C61" s="43"/>
      <c r="D61" s="43"/>
      <c r="E61" s="43"/>
      <c r="F61" s="43"/>
      <c r="G61" s="43"/>
      <c r="H61" s="43"/>
      <c r="I61" s="22"/>
      <c r="J61" s="43"/>
      <c r="K61" s="43"/>
      <c r="L61" s="43"/>
      <c r="M61" s="43"/>
      <c r="N61" s="43"/>
      <c r="O61" s="43"/>
      <c r="P61" s="22"/>
      <c r="Q61" s="43"/>
      <c r="R61" s="43"/>
      <c r="S61" s="43"/>
      <c r="T61" s="43"/>
      <c r="U61" s="43"/>
      <c r="V61" s="43"/>
      <c r="W61" s="22"/>
      <c r="X61" s="43"/>
      <c r="Y61" s="43"/>
      <c r="Z61" s="43"/>
      <c r="AA61" s="43"/>
      <c r="AB61" s="43"/>
      <c r="AC61" s="43"/>
      <c r="AD61" s="22"/>
      <c r="AE61" s="43"/>
      <c r="AF61" s="43"/>
      <c r="AG61" s="43"/>
      <c r="AH61" s="43"/>
      <c r="AI61" s="43"/>
      <c r="AJ61" s="43"/>
      <c r="AK61" s="46">
        <f t="shared" si="6"/>
        <v>0</v>
      </c>
      <c r="AL61" s="46">
        <f t="shared" si="7"/>
        <v>0</v>
      </c>
      <c r="AM61" s="39"/>
      <c r="AN61" s="40"/>
      <c r="AO61" s="40"/>
      <c r="AP61" s="41"/>
    </row>
    <row r="62" spans="1:42" ht="14.1" customHeight="1">
      <c r="A62" s="42">
        <v>34</v>
      </c>
      <c r="B62" s="56"/>
      <c r="C62" s="43"/>
      <c r="D62" s="43"/>
      <c r="E62" s="43"/>
      <c r="F62" s="43"/>
      <c r="G62" s="43"/>
      <c r="H62" s="43"/>
      <c r="I62" s="22"/>
      <c r="J62" s="43"/>
      <c r="K62" s="43"/>
      <c r="L62" s="43"/>
      <c r="M62" s="43"/>
      <c r="N62" s="43"/>
      <c r="O62" s="43"/>
      <c r="P62" s="22"/>
      <c r="Q62" s="43"/>
      <c r="R62" s="43"/>
      <c r="S62" s="43"/>
      <c r="T62" s="43"/>
      <c r="U62" s="43"/>
      <c r="V62" s="43"/>
      <c r="W62" s="22"/>
      <c r="X62" s="43"/>
      <c r="Y62" s="43"/>
      <c r="Z62" s="43"/>
      <c r="AA62" s="43"/>
      <c r="AB62" s="43"/>
      <c r="AC62" s="43"/>
      <c r="AD62" s="22"/>
      <c r="AE62" s="43"/>
      <c r="AF62" s="43"/>
      <c r="AG62" s="43"/>
      <c r="AH62" s="43"/>
      <c r="AI62" s="43"/>
      <c r="AJ62" s="43"/>
      <c r="AK62" s="46">
        <f t="shared" si="6"/>
        <v>0</v>
      </c>
      <c r="AL62" s="46">
        <f t="shared" si="7"/>
        <v>0</v>
      </c>
      <c r="AM62" s="39"/>
      <c r="AN62" s="40"/>
      <c r="AO62" s="40"/>
      <c r="AP62" s="41"/>
    </row>
    <row r="63" spans="1:42" ht="14.1" customHeight="1">
      <c r="A63" s="42">
        <v>35</v>
      </c>
      <c r="B63" s="52"/>
      <c r="C63" s="43"/>
      <c r="D63" s="43"/>
      <c r="E63" s="43"/>
      <c r="F63" s="43"/>
      <c r="G63" s="43"/>
      <c r="H63" s="43"/>
      <c r="I63" s="22"/>
      <c r="J63" s="43"/>
      <c r="K63" s="43"/>
      <c r="L63" s="43"/>
      <c r="M63" s="43"/>
      <c r="N63" s="43"/>
      <c r="O63" s="43"/>
      <c r="P63" s="22"/>
      <c r="Q63" s="43"/>
      <c r="R63" s="43"/>
      <c r="S63" s="43"/>
      <c r="T63" s="43"/>
      <c r="U63" s="43"/>
      <c r="V63" s="43"/>
      <c r="W63" s="22"/>
      <c r="X63" s="43"/>
      <c r="Y63" s="43"/>
      <c r="Z63" s="43"/>
      <c r="AA63" s="43"/>
      <c r="AB63" s="43"/>
      <c r="AC63" s="43"/>
      <c r="AD63" s="22"/>
      <c r="AE63" s="43"/>
      <c r="AF63" s="43"/>
      <c r="AG63" s="43"/>
      <c r="AH63" s="43"/>
      <c r="AI63" s="43"/>
      <c r="AJ63" s="43"/>
      <c r="AK63" s="46">
        <f t="shared" si="6"/>
        <v>0</v>
      </c>
      <c r="AL63" s="46">
        <f t="shared" si="7"/>
        <v>0</v>
      </c>
      <c r="AM63" s="150"/>
      <c r="AN63" s="151"/>
      <c r="AO63" s="151"/>
      <c r="AP63" s="152"/>
    </row>
    <row r="64" spans="1:42" ht="14.1" customHeight="1" thickBot="1">
      <c r="A64" s="50">
        <v>36</v>
      </c>
      <c r="B64" s="57"/>
      <c r="C64" s="43"/>
      <c r="D64" s="43"/>
      <c r="E64" s="43"/>
      <c r="F64" s="43"/>
      <c r="G64" s="43"/>
      <c r="H64" s="43"/>
      <c r="I64" s="22"/>
      <c r="J64" s="43"/>
      <c r="K64" s="43"/>
      <c r="L64" s="43"/>
      <c r="M64" s="43"/>
      <c r="N64" s="43"/>
      <c r="O64" s="43"/>
      <c r="P64" s="22"/>
      <c r="Q64" s="43"/>
      <c r="R64" s="43"/>
      <c r="S64" s="43"/>
      <c r="T64" s="43"/>
      <c r="U64" s="43"/>
      <c r="V64" s="43"/>
      <c r="W64" s="22"/>
      <c r="X64" s="43"/>
      <c r="Y64" s="43"/>
      <c r="Z64" s="43"/>
      <c r="AA64" s="43"/>
      <c r="AB64" s="43"/>
      <c r="AC64" s="43"/>
      <c r="AD64" s="22"/>
      <c r="AE64" s="43"/>
      <c r="AF64" s="43"/>
      <c r="AG64" s="43"/>
      <c r="AH64" s="43"/>
      <c r="AI64" s="43"/>
      <c r="AJ64" s="43"/>
      <c r="AK64" s="46">
        <f t="shared" si="6"/>
        <v>0</v>
      </c>
      <c r="AL64" s="46">
        <f t="shared" si="7"/>
        <v>0</v>
      </c>
      <c r="AM64" s="150"/>
      <c r="AN64" s="151"/>
      <c r="AO64" s="151"/>
      <c r="AP64" s="152"/>
    </row>
    <row r="65" spans="1:42" ht="15.75" thickBot="1">
      <c r="A65" s="139" t="s">
        <v>35</v>
      </c>
      <c r="B65" s="140"/>
      <c r="C65" s="48">
        <f t="shared" ref="C65:H65" si="8">ROWS(C29:C64) - COUNTIF(C29:C64,"X")</f>
        <v>36</v>
      </c>
      <c r="D65" s="48">
        <f t="shared" si="8"/>
        <v>36</v>
      </c>
      <c r="E65" s="48">
        <f t="shared" si="8"/>
        <v>36</v>
      </c>
      <c r="F65" s="48">
        <f t="shared" si="8"/>
        <v>36</v>
      </c>
      <c r="G65" s="48">
        <f t="shared" si="8"/>
        <v>36</v>
      </c>
      <c r="H65" s="48">
        <f t="shared" si="8"/>
        <v>36</v>
      </c>
      <c r="I65" s="45">
        <f t="shared" ref="I65:AD65" si="9">COUNTIF(I29:I64,"X")</f>
        <v>0</v>
      </c>
      <c r="J65" s="48">
        <f t="shared" ref="J65:O65" si="10">ROWS(J29:J64) - COUNTIF(J29:J64,"X")</f>
        <v>36</v>
      </c>
      <c r="K65" s="48">
        <f t="shared" si="10"/>
        <v>36</v>
      </c>
      <c r="L65" s="48">
        <f t="shared" si="10"/>
        <v>36</v>
      </c>
      <c r="M65" s="48">
        <f t="shared" si="10"/>
        <v>36</v>
      </c>
      <c r="N65" s="48">
        <f t="shared" si="10"/>
        <v>36</v>
      </c>
      <c r="O65" s="48">
        <f t="shared" si="10"/>
        <v>36</v>
      </c>
      <c r="P65" s="45">
        <f t="shared" si="9"/>
        <v>0</v>
      </c>
      <c r="Q65" s="48">
        <f t="shared" ref="Q65:V65" si="11">ROWS(Q29:Q64) - COUNTIF(Q29:Q64,"X")</f>
        <v>36</v>
      </c>
      <c r="R65" s="48">
        <f t="shared" si="11"/>
        <v>36</v>
      </c>
      <c r="S65" s="48">
        <f t="shared" si="11"/>
        <v>36</v>
      </c>
      <c r="T65" s="48">
        <f t="shared" si="11"/>
        <v>36</v>
      </c>
      <c r="U65" s="48">
        <f t="shared" si="11"/>
        <v>36</v>
      </c>
      <c r="V65" s="48">
        <f t="shared" si="11"/>
        <v>36</v>
      </c>
      <c r="W65" s="45">
        <f t="shared" si="9"/>
        <v>0</v>
      </c>
      <c r="X65" s="48">
        <f t="shared" ref="X65:AC65" si="12">ROWS(X29:X64) - COUNTIF(X29:X64,"X")</f>
        <v>36</v>
      </c>
      <c r="Y65" s="48">
        <f t="shared" si="12"/>
        <v>36</v>
      </c>
      <c r="Z65" s="48">
        <f t="shared" si="12"/>
        <v>36</v>
      </c>
      <c r="AA65" s="48">
        <f t="shared" si="12"/>
        <v>36</v>
      </c>
      <c r="AB65" s="48">
        <f t="shared" si="12"/>
        <v>36</v>
      </c>
      <c r="AC65" s="48">
        <f t="shared" si="12"/>
        <v>36</v>
      </c>
      <c r="AD65" s="45">
        <f t="shared" si="9"/>
        <v>0</v>
      </c>
      <c r="AE65" s="48">
        <f t="shared" ref="AE65:AG65" si="13">ROWS(AE29:AE64) - COUNTIF(AE29:AE64,"X")</f>
        <v>36</v>
      </c>
      <c r="AF65" s="48">
        <f t="shared" si="13"/>
        <v>36</v>
      </c>
      <c r="AG65" s="48">
        <f t="shared" si="13"/>
        <v>36</v>
      </c>
      <c r="AH65" s="48"/>
      <c r="AI65" s="48"/>
      <c r="AJ65" s="48"/>
      <c r="AK65" s="47">
        <f>SUM(AK29:AK64)</f>
        <v>0</v>
      </c>
      <c r="AL65" s="47">
        <f>SUM(AL29:AL64)</f>
        <v>0</v>
      </c>
      <c r="AM65" s="141">
        <f>SUM(C65:AJ65)</f>
        <v>972</v>
      </c>
      <c r="AN65" s="141"/>
      <c r="AO65" s="141"/>
      <c r="AP65" s="142"/>
    </row>
    <row r="66" spans="1:42" ht="15" customHeight="1" thickBot="1">
      <c r="A66" s="139" t="s">
        <v>36</v>
      </c>
      <c r="B66" s="140"/>
      <c r="C66" s="44">
        <f t="shared" ref="C66:E66" si="14">SUM(C28,C65)</f>
        <v>50</v>
      </c>
      <c r="D66" s="44">
        <f t="shared" si="14"/>
        <v>50</v>
      </c>
      <c r="E66" s="44">
        <f t="shared" si="14"/>
        <v>50</v>
      </c>
      <c r="F66" s="44">
        <f>SUM(F28,F65)</f>
        <v>49</v>
      </c>
      <c r="G66" s="44">
        <f>SUM(G28,G65)</f>
        <v>50</v>
      </c>
      <c r="H66" s="44">
        <f>SUM(H28,H65)</f>
        <v>50</v>
      </c>
      <c r="I66" s="21"/>
      <c r="J66" s="44">
        <f t="shared" ref="J66:O66" si="15">SUM(J28,J65)</f>
        <v>50</v>
      </c>
      <c r="K66" s="44">
        <f t="shared" si="15"/>
        <v>50</v>
      </c>
      <c r="L66" s="44">
        <f t="shared" si="15"/>
        <v>50</v>
      </c>
      <c r="M66" s="44">
        <f t="shared" si="15"/>
        <v>50</v>
      </c>
      <c r="N66" s="44">
        <f t="shared" si="15"/>
        <v>50</v>
      </c>
      <c r="O66" s="44">
        <f t="shared" si="15"/>
        <v>50</v>
      </c>
      <c r="P66" s="21"/>
      <c r="Q66" s="44">
        <f t="shared" ref="Q66:V66" si="16">SUM(Q28,Q65)</f>
        <v>50</v>
      </c>
      <c r="R66" s="44">
        <f t="shared" si="16"/>
        <v>50</v>
      </c>
      <c r="S66" s="44">
        <f t="shared" si="16"/>
        <v>50</v>
      </c>
      <c r="T66" s="44">
        <f t="shared" si="16"/>
        <v>50</v>
      </c>
      <c r="U66" s="44">
        <f t="shared" si="16"/>
        <v>50</v>
      </c>
      <c r="V66" s="44">
        <f t="shared" si="16"/>
        <v>50</v>
      </c>
      <c r="W66" s="21"/>
      <c r="X66" s="44">
        <f t="shared" ref="X66:AG66" si="17">SUM(X28,X65)</f>
        <v>50</v>
      </c>
      <c r="Y66" s="44">
        <f t="shared" si="17"/>
        <v>50</v>
      </c>
      <c r="Z66" s="44">
        <f t="shared" si="17"/>
        <v>50</v>
      </c>
      <c r="AA66" s="44">
        <f t="shared" si="17"/>
        <v>50</v>
      </c>
      <c r="AB66" s="44">
        <f t="shared" si="17"/>
        <v>50</v>
      </c>
      <c r="AC66" s="44">
        <f t="shared" si="17"/>
        <v>50</v>
      </c>
      <c r="AD66" s="21"/>
      <c r="AE66" s="44">
        <f t="shared" si="17"/>
        <v>50</v>
      </c>
      <c r="AF66" s="44">
        <f t="shared" si="17"/>
        <v>50</v>
      </c>
      <c r="AG66" s="44">
        <f t="shared" si="17"/>
        <v>50</v>
      </c>
      <c r="AH66" s="44"/>
      <c r="AI66" s="44"/>
      <c r="AJ66" s="44"/>
      <c r="AK66" s="47">
        <f>SUM(AK28,AK65)</f>
        <v>1</v>
      </c>
      <c r="AL66" s="47">
        <f t="shared" ref="AL66" si="18">SUM(AL28,AL65)</f>
        <v>1</v>
      </c>
      <c r="AM66" s="141">
        <f>SUM(C66:AJ66)</f>
        <v>1349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96</v>
      </c>
      <c r="AL69" s="134">
        <v>27</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4">
    <mergeCell ref="AM27:AP27"/>
    <mergeCell ref="AM28:AP28"/>
    <mergeCell ref="AM29:AP29"/>
    <mergeCell ref="A28:B28"/>
    <mergeCell ref="N4:R4"/>
    <mergeCell ref="S4:W4"/>
    <mergeCell ref="Z4:AB4"/>
    <mergeCell ref="A10:A13"/>
    <mergeCell ref="B10:B11"/>
    <mergeCell ref="AM48:AP48"/>
    <mergeCell ref="B12:B13"/>
    <mergeCell ref="X6:AA6"/>
    <mergeCell ref="AB6:AE6"/>
    <mergeCell ref="N6:R6"/>
    <mergeCell ref="S6:W6"/>
    <mergeCell ref="C10:AJ11"/>
    <mergeCell ref="AK10:AL12"/>
    <mergeCell ref="AM10:AP10"/>
    <mergeCell ref="AM11:AP11"/>
    <mergeCell ref="AM12:AP12"/>
    <mergeCell ref="AM13:AP13"/>
    <mergeCell ref="AM14:AP14"/>
    <mergeCell ref="AM15:AP15"/>
    <mergeCell ref="AM16:AP16"/>
    <mergeCell ref="AM17:AP17"/>
    <mergeCell ref="AM18:AP18"/>
    <mergeCell ref="AM19:AP19"/>
    <mergeCell ref="AM20:AP20"/>
    <mergeCell ref="AM21:AP21"/>
    <mergeCell ref="AM22:AP22"/>
    <mergeCell ref="AM23:AP23"/>
    <mergeCell ref="AM24:AP24"/>
    <mergeCell ref="AM25:AP25"/>
    <mergeCell ref="AM39:AP39"/>
    <mergeCell ref="AM40:AP40"/>
    <mergeCell ref="AM41:AP41"/>
    <mergeCell ref="AM42:AP42"/>
    <mergeCell ref="AM43:AP43"/>
    <mergeCell ref="AM44:AP44"/>
    <mergeCell ref="AM45:AP45"/>
    <mergeCell ref="AM46:AP46"/>
    <mergeCell ref="AM47:AP47"/>
    <mergeCell ref="AK81:AM81"/>
    <mergeCell ref="A68:B68"/>
    <mergeCell ref="A65:B65"/>
    <mergeCell ref="A66:B66"/>
    <mergeCell ref="B73:B74"/>
    <mergeCell ref="M73:N74"/>
    <mergeCell ref="B71:B72"/>
    <mergeCell ref="M71:N72"/>
    <mergeCell ref="A69:R69"/>
    <mergeCell ref="A70:R70"/>
    <mergeCell ref="D71:L71"/>
    <mergeCell ref="A79:R79"/>
    <mergeCell ref="A80:R80"/>
    <mergeCell ref="M76:N77"/>
    <mergeCell ref="B76:B77"/>
    <mergeCell ref="D77:L77"/>
    <mergeCell ref="AK77:AP77"/>
    <mergeCell ref="AK78:AM78"/>
    <mergeCell ref="AK79:AM79"/>
    <mergeCell ref="AK80:AM80"/>
    <mergeCell ref="T77:AG77"/>
    <mergeCell ref="T78:AG81"/>
    <mergeCell ref="AK71:AM71"/>
    <mergeCell ref="D72:L72"/>
    <mergeCell ref="T94:AG94"/>
    <mergeCell ref="T95:AG95"/>
    <mergeCell ref="T96:AG96"/>
    <mergeCell ref="T97:AG97"/>
    <mergeCell ref="AK82:AM82"/>
    <mergeCell ref="AK85:AP85"/>
    <mergeCell ref="AK86:AP86"/>
    <mergeCell ref="AK91:AP91"/>
    <mergeCell ref="AK92:AP92"/>
    <mergeCell ref="T82:AG82"/>
    <mergeCell ref="T83:AG85"/>
    <mergeCell ref="T86:AG86"/>
    <mergeCell ref="T87:AG89"/>
    <mergeCell ref="T90:AG90"/>
    <mergeCell ref="T91:AG91"/>
    <mergeCell ref="T93:AG93"/>
    <mergeCell ref="A2:AP2"/>
    <mergeCell ref="D4:M4"/>
    <mergeCell ref="AC4:AK4"/>
    <mergeCell ref="AL4:AM4"/>
    <mergeCell ref="AN4:AP4"/>
    <mergeCell ref="D6:M6"/>
    <mergeCell ref="AL6:AP6"/>
    <mergeCell ref="D8:M8"/>
    <mergeCell ref="N8:R8"/>
    <mergeCell ref="S8:AJ8"/>
    <mergeCell ref="AL8:AP8"/>
    <mergeCell ref="AM30:AP30"/>
    <mergeCell ref="AM31:AP31"/>
    <mergeCell ref="AM32:AP32"/>
    <mergeCell ref="AM33:AP33"/>
    <mergeCell ref="AM34:AP34"/>
    <mergeCell ref="AM35:AP35"/>
    <mergeCell ref="AM36:AP36"/>
    <mergeCell ref="AM37:AP37"/>
    <mergeCell ref="AM38:AP38"/>
    <mergeCell ref="AM49:AP49"/>
    <mergeCell ref="AM63:AP63"/>
    <mergeCell ref="AM64:AP64"/>
    <mergeCell ref="AM65:AP65"/>
    <mergeCell ref="AM66:AP66"/>
    <mergeCell ref="T68:AG68"/>
    <mergeCell ref="AL68:AM68"/>
    <mergeCell ref="AN68:AP68"/>
    <mergeCell ref="T69:AG70"/>
    <mergeCell ref="AL69:AM69"/>
    <mergeCell ref="AK70:AM70"/>
    <mergeCell ref="AK72:AM72"/>
    <mergeCell ref="D73:L73"/>
    <mergeCell ref="T73:AG73"/>
    <mergeCell ref="AK73:AM73"/>
    <mergeCell ref="D74:L74"/>
    <mergeCell ref="T74:AG76"/>
    <mergeCell ref="AK74:AM74"/>
    <mergeCell ref="AK75:AM75"/>
    <mergeCell ref="D76:L76"/>
    <mergeCell ref="AK76:AM76"/>
    <mergeCell ref="T71:AG72"/>
  </mergeCells>
  <pageMargins left="0.12" right="0.12" top="0.5" bottom="0.12" header="0.3" footer="0.12"/>
  <pageSetup paperSize="9" scale="71" fitToHeight="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Y97"/>
  <sheetViews>
    <sheetView topLeftCell="A9" zoomScale="85" zoomScaleNormal="85" workbookViewId="0">
      <selection activeCell="L17" sqref="L17"/>
    </sheetView>
  </sheetViews>
  <sheetFormatPr defaultRowHeight="15"/>
  <cols>
    <col min="1" max="1" width="4.140625" customWidth="1"/>
    <col min="2" max="2" width="35.5703125" customWidth="1"/>
    <col min="3" max="8" width="3.85546875" customWidth="1"/>
    <col min="9" max="9" width="0.28515625" customWidth="1"/>
    <col min="10" max="15" width="3.85546875" customWidth="1"/>
    <col min="16" max="16" width="0.28515625" customWidth="1"/>
    <col min="17" max="22" width="3.85546875" style="1" customWidth="1"/>
    <col min="23" max="23" width="0.28515625" customWidth="1"/>
    <col min="24" max="29" width="3.85546875" style="3" customWidth="1"/>
    <col min="30" max="30" width="0.28515625" customWidth="1"/>
    <col min="31" max="36" width="3.85546875" customWidth="1"/>
    <col min="37" max="37" width="9.5703125" customWidth="1"/>
    <col min="38" max="38" width="7.7109375" customWidth="1"/>
    <col min="39" max="39" width="5.5703125" customWidth="1"/>
  </cols>
  <sheetData>
    <row r="2" spans="1:51" ht="24" customHeight="1">
      <c r="A2" s="189" t="s">
        <v>51</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6"/>
      <c r="AR2" s="6"/>
      <c r="AS2" s="6"/>
      <c r="AT2" s="6"/>
      <c r="AU2" s="6"/>
      <c r="AV2" s="6"/>
      <c r="AW2" s="6"/>
      <c r="AX2" s="6"/>
      <c r="AY2" s="6"/>
    </row>
    <row r="4" spans="1:51">
      <c r="B4" s="5" t="s">
        <v>37</v>
      </c>
      <c r="C4" s="5"/>
      <c r="D4" s="166" t="s">
        <v>38</v>
      </c>
      <c r="E4" s="167"/>
      <c r="F4" s="167"/>
      <c r="G4" s="167"/>
      <c r="H4" s="167"/>
      <c r="I4" s="167"/>
      <c r="J4" s="167"/>
      <c r="K4" s="167"/>
      <c r="L4" s="167"/>
      <c r="M4" s="168"/>
      <c r="N4" s="170" t="s">
        <v>47</v>
      </c>
      <c r="O4" s="170"/>
      <c r="P4" s="170"/>
      <c r="Q4" s="170"/>
      <c r="R4" s="170"/>
      <c r="S4" s="166">
        <v>405431</v>
      </c>
      <c r="T4" s="167"/>
      <c r="U4" s="167"/>
      <c r="V4" s="167"/>
      <c r="W4" s="168"/>
      <c r="X4" s="4"/>
      <c r="Z4" s="190" t="s">
        <v>45</v>
      </c>
      <c r="AA4" s="190"/>
      <c r="AB4" s="190"/>
      <c r="AC4" s="166" t="s">
        <v>46</v>
      </c>
      <c r="AD4" s="167"/>
      <c r="AE4" s="167"/>
      <c r="AF4" s="167"/>
      <c r="AG4" s="167"/>
      <c r="AH4" s="167"/>
      <c r="AI4" s="167"/>
      <c r="AJ4" s="167"/>
      <c r="AK4" s="168"/>
      <c r="AL4" s="170" t="s">
        <v>42</v>
      </c>
      <c r="AM4" s="171"/>
      <c r="AN4" s="166" t="s">
        <v>43</v>
      </c>
      <c r="AO4" s="167"/>
      <c r="AP4" s="168"/>
    </row>
    <row r="5" spans="1:51" ht="9.9499999999999993" customHeight="1">
      <c r="N5" s="5"/>
      <c r="O5" s="5"/>
      <c r="P5" s="5"/>
      <c r="Q5" s="5"/>
      <c r="R5" s="5"/>
      <c r="AK5" s="5"/>
      <c r="AL5" s="5"/>
      <c r="AM5" s="5"/>
      <c r="AN5" s="5"/>
      <c r="AO5" s="5"/>
      <c r="AP5" s="5"/>
    </row>
    <row r="6" spans="1:51">
      <c r="B6" s="5" t="s">
        <v>40</v>
      </c>
      <c r="C6" s="5"/>
      <c r="D6" s="166" t="s">
        <v>39</v>
      </c>
      <c r="E6" s="167"/>
      <c r="F6" s="167"/>
      <c r="G6" s="167"/>
      <c r="H6" s="167"/>
      <c r="I6" s="167"/>
      <c r="J6" s="167"/>
      <c r="K6" s="167"/>
      <c r="L6" s="167"/>
      <c r="M6" s="168"/>
      <c r="N6" s="170" t="s">
        <v>48</v>
      </c>
      <c r="O6" s="170"/>
      <c r="P6" s="170"/>
      <c r="Q6" s="170"/>
      <c r="R6" s="170"/>
      <c r="S6" s="166" t="s">
        <v>109</v>
      </c>
      <c r="T6" s="167"/>
      <c r="U6" s="167"/>
      <c r="V6" s="167"/>
      <c r="W6" s="168"/>
      <c r="X6" s="170" t="s">
        <v>50</v>
      </c>
      <c r="Y6" s="170"/>
      <c r="Z6" s="170"/>
      <c r="AA6" s="171"/>
      <c r="AB6" s="166">
        <v>11</v>
      </c>
      <c r="AC6" s="167"/>
      <c r="AD6" s="167"/>
      <c r="AE6" s="168"/>
      <c r="AF6" s="24"/>
      <c r="AG6" s="24"/>
      <c r="AH6" s="24"/>
      <c r="AI6" s="24"/>
      <c r="AJ6" s="24"/>
      <c r="AK6" s="5"/>
      <c r="AL6" s="166" t="s">
        <v>111</v>
      </c>
      <c r="AM6" s="167"/>
      <c r="AN6" s="167"/>
      <c r="AO6" s="167"/>
      <c r="AP6" s="168"/>
    </row>
    <row r="7" spans="1:51" ht="9.9499999999999993" customHeight="1">
      <c r="N7" s="5"/>
      <c r="O7" s="5"/>
      <c r="P7" s="5"/>
      <c r="Q7" s="5"/>
      <c r="R7" s="5"/>
      <c r="AK7" s="5"/>
      <c r="AL7" s="5"/>
      <c r="AM7" s="5"/>
      <c r="AN7" s="5"/>
      <c r="AO7" s="5"/>
      <c r="AP7" s="5"/>
    </row>
    <row r="8" spans="1:51">
      <c r="B8" s="5" t="s">
        <v>41</v>
      </c>
      <c r="C8" s="5"/>
      <c r="D8" s="166" t="s">
        <v>110</v>
      </c>
      <c r="E8" s="167"/>
      <c r="F8" s="167"/>
      <c r="G8" s="167"/>
      <c r="H8" s="167"/>
      <c r="I8" s="167"/>
      <c r="J8" s="167"/>
      <c r="K8" s="167"/>
      <c r="L8" s="167"/>
      <c r="M8" s="168"/>
      <c r="N8" s="196" t="s">
        <v>49</v>
      </c>
      <c r="O8" s="196"/>
      <c r="P8" s="196"/>
      <c r="Q8" s="196"/>
      <c r="R8" s="197"/>
      <c r="S8" s="172"/>
      <c r="T8" s="151"/>
      <c r="U8" s="151"/>
      <c r="V8" s="151"/>
      <c r="W8" s="151"/>
      <c r="X8" s="151"/>
      <c r="Y8" s="151"/>
      <c r="Z8" s="151"/>
      <c r="AA8" s="151"/>
      <c r="AB8" s="151"/>
      <c r="AC8" s="151"/>
      <c r="AD8" s="151"/>
      <c r="AE8" s="151"/>
      <c r="AF8" s="151"/>
      <c r="AG8" s="151"/>
      <c r="AH8" s="151"/>
      <c r="AI8" s="151"/>
      <c r="AJ8" s="151"/>
      <c r="AK8" s="26"/>
      <c r="AL8" s="166" t="s">
        <v>97</v>
      </c>
      <c r="AM8" s="167"/>
      <c r="AN8" s="167"/>
      <c r="AO8" s="167"/>
      <c r="AP8" s="168"/>
    </row>
    <row r="9" spans="1:51" ht="15.75" thickBot="1"/>
    <row r="10" spans="1:51" ht="13.5" customHeight="1">
      <c r="A10" s="174" t="s">
        <v>0</v>
      </c>
      <c r="B10" s="177" t="s">
        <v>1</v>
      </c>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c r="AK10" s="181" t="s">
        <v>11</v>
      </c>
      <c r="AL10" s="149"/>
      <c r="AM10" s="186" t="s">
        <v>29</v>
      </c>
      <c r="AN10" s="187"/>
      <c r="AO10" s="187"/>
      <c r="AP10" s="188"/>
    </row>
    <row r="11" spans="1:51" ht="25.5" customHeight="1" thickBot="1">
      <c r="A11" s="175"/>
      <c r="B11" s="178"/>
      <c r="C11" s="203"/>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5"/>
      <c r="AK11" s="182"/>
      <c r="AL11" s="183"/>
      <c r="AM11" s="158" t="s">
        <v>31</v>
      </c>
      <c r="AN11" s="159"/>
      <c r="AO11" s="159"/>
      <c r="AP11" s="160"/>
    </row>
    <row r="12" spans="1:51" ht="25.5" customHeight="1" thickBot="1">
      <c r="A12" s="175"/>
      <c r="B12" s="198" t="s">
        <v>2</v>
      </c>
      <c r="C12" s="87"/>
      <c r="D12" s="87"/>
      <c r="E12" s="61"/>
      <c r="F12" s="61">
        <v>1</v>
      </c>
      <c r="G12" s="61">
        <v>2</v>
      </c>
      <c r="H12" s="61">
        <v>3</v>
      </c>
      <c r="I12" s="62"/>
      <c r="J12" s="61">
        <v>5</v>
      </c>
      <c r="K12" s="61">
        <v>6</v>
      </c>
      <c r="L12" s="61">
        <v>7</v>
      </c>
      <c r="M12" s="61">
        <v>8</v>
      </c>
      <c r="N12" s="61">
        <v>9</v>
      </c>
      <c r="O12" s="61">
        <v>10</v>
      </c>
      <c r="P12" s="63"/>
      <c r="Q12" s="61">
        <v>12</v>
      </c>
      <c r="R12" s="61">
        <v>13</v>
      </c>
      <c r="S12" s="61">
        <v>14</v>
      </c>
      <c r="T12" s="61">
        <v>15</v>
      </c>
      <c r="U12" s="61">
        <v>16</v>
      </c>
      <c r="V12" s="61">
        <v>17</v>
      </c>
      <c r="W12" s="63"/>
      <c r="X12" s="61"/>
      <c r="Y12" s="61"/>
      <c r="Z12" s="61"/>
      <c r="AA12" s="61"/>
      <c r="AB12" s="61"/>
      <c r="AC12" s="61"/>
      <c r="AD12" s="63"/>
      <c r="AE12" s="61"/>
      <c r="AF12" s="61"/>
      <c r="AG12" s="61"/>
      <c r="AH12" s="61"/>
      <c r="AI12" s="61"/>
      <c r="AJ12" s="89"/>
      <c r="AK12" s="184"/>
      <c r="AL12" s="185"/>
      <c r="AM12" s="158" t="s">
        <v>32</v>
      </c>
      <c r="AN12" s="159"/>
      <c r="AO12" s="159"/>
      <c r="AP12" s="160"/>
    </row>
    <row r="13" spans="1:51" ht="27" customHeight="1" thickBot="1">
      <c r="A13" s="176"/>
      <c r="B13" s="199"/>
      <c r="C13" s="88" t="s">
        <v>3</v>
      </c>
      <c r="D13" s="88" t="s">
        <v>4</v>
      </c>
      <c r="E13" s="66" t="s">
        <v>5</v>
      </c>
      <c r="F13" s="66" t="s">
        <v>6</v>
      </c>
      <c r="G13" s="66" t="s">
        <v>7</v>
      </c>
      <c r="H13" s="66" t="s">
        <v>8</v>
      </c>
      <c r="I13" s="67"/>
      <c r="J13" s="66" t="s">
        <v>3</v>
      </c>
      <c r="K13" s="66" t="s">
        <v>4</v>
      </c>
      <c r="L13" s="66" t="s">
        <v>5</v>
      </c>
      <c r="M13" s="66" t="s">
        <v>6</v>
      </c>
      <c r="N13" s="66" t="s">
        <v>7</v>
      </c>
      <c r="O13" s="66" t="s">
        <v>8</v>
      </c>
      <c r="P13" s="68"/>
      <c r="Q13" s="66" t="s">
        <v>3</v>
      </c>
      <c r="R13" s="66" t="s">
        <v>4</v>
      </c>
      <c r="S13" s="66" t="s">
        <v>5</v>
      </c>
      <c r="T13" s="66" t="s">
        <v>6</v>
      </c>
      <c r="U13" s="66" t="s">
        <v>7</v>
      </c>
      <c r="V13" s="66" t="s">
        <v>8</v>
      </c>
      <c r="W13" s="68"/>
      <c r="X13" s="66" t="s">
        <v>3</v>
      </c>
      <c r="Y13" s="66" t="s">
        <v>4</v>
      </c>
      <c r="Z13" s="66" t="s">
        <v>5</v>
      </c>
      <c r="AA13" s="66" t="s">
        <v>6</v>
      </c>
      <c r="AB13" s="66" t="s">
        <v>7</v>
      </c>
      <c r="AC13" s="66" t="s">
        <v>8</v>
      </c>
      <c r="AD13" s="68"/>
      <c r="AE13" s="66" t="s">
        <v>3</v>
      </c>
      <c r="AF13" s="66" t="s">
        <v>4</v>
      </c>
      <c r="AG13" s="66" t="s">
        <v>5</v>
      </c>
      <c r="AH13" s="66" t="s">
        <v>6</v>
      </c>
      <c r="AI13" s="66" t="s">
        <v>7</v>
      </c>
      <c r="AJ13" s="90" t="s">
        <v>8</v>
      </c>
      <c r="AK13" s="72" t="s">
        <v>9</v>
      </c>
      <c r="AL13" s="73" t="s">
        <v>10</v>
      </c>
      <c r="AM13" s="163" t="s">
        <v>33</v>
      </c>
      <c r="AN13" s="164"/>
      <c r="AO13" s="164"/>
      <c r="AP13" s="165"/>
    </row>
    <row r="14" spans="1:51" ht="14.1" customHeight="1">
      <c r="A14" s="49">
        <v>1</v>
      </c>
      <c r="B14" s="51"/>
      <c r="C14" s="85"/>
      <c r="D14" s="85"/>
      <c r="E14" s="85"/>
      <c r="F14" s="97" t="s">
        <v>118</v>
      </c>
      <c r="G14" s="85" t="s">
        <v>86</v>
      </c>
      <c r="H14" s="43"/>
      <c r="I14" s="22"/>
      <c r="J14" s="43"/>
      <c r="K14" s="43" t="s">
        <v>107</v>
      </c>
      <c r="L14" s="43"/>
      <c r="M14" s="43"/>
      <c r="N14" s="97" t="s">
        <v>119</v>
      </c>
      <c r="O14" s="43"/>
      <c r="P14" s="22"/>
      <c r="Q14" s="43"/>
      <c r="R14" s="43"/>
      <c r="S14" s="43"/>
      <c r="T14" s="43"/>
      <c r="U14" s="43"/>
      <c r="V14" s="43"/>
      <c r="W14" s="22"/>
      <c r="X14" s="43"/>
      <c r="Y14" s="43"/>
      <c r="Z14" s="43"/>
      <c r="AA14" s="43"/>
      <c r="AB14" s="43"/>
      <c r="AC14" s="43"/>
      <c r="AD14" s="22"/>
      <c r="AE14" s="43"/>
      <c r="AF14" s="43"/>
      <c r="AG14" s="43"/>
      <c r="AH14" s="43"/>
      <c r="AI14" s="43"/>
      <c r="AJ14" s="43"/>
      <c r="AK14" s="46">
        <f>COUNTIF(D14:AJ14,"X")</f>
        <v>1</v>
      </c>
      <c r="AL14" s="46">
        <f t="shared" ref="AL14:AL27" si="0">COUNTIF(D14:AJ14,"T")</f>
        <v>1</v>
      </c>
      <c r="AM14" s="153"/>
      <c r="AN14" s="154"/>
      <c r="AO14" s="154"/>
      <c r="AP14" s="155"/>
    </row>
    <row r="15" spans="1:51" ht="14.1" customHeight="1">
      <c r="A15" s="42">
        <v>2</v>
      </c>
      <c r="B15" s="52"/>
      <c r="C15" s="85"/>
      <c r="D15" s="85"/>
      <c r="E15" s="43"/>
      <c r="F15" s="98"/>
      <c r="G15" s="43"/>
      <c r="H15" s="43"/>
      <c r="I15" s="23"/>
      <c r="J15" s="43"/>
      <c r="K15" s="43"/>
      <c r="L15" s="43"/>
      <c r="M15" s="43"/>
      <c r="N15" s="98"/>
      <c r="O15" s="43"/>
      <c r="P15" s="23"/>
      <c r="Q15" s="43"/>
      <c r="R15" s="43"/>
      <c r="S15" s="43"/>
      <c r="T15" s="43"/>
      <c r="U15" s="43"/>
      <c r="V15" s="43"/>
      <c r="W15" s="22"/>
      <c r="X15" s="43"/>
      <c r="Y15" s="43"/>
      <c r="Z15" s="43"/>
      <c r="AA15" s="43"/>
      <c r="AB15" s="43"/>
      <c r="AC15" s="43"/>
      <c r="AD15" s="23"/>
      <c r="AE15" s="43"/>
      <c r="AF15" s="43"/>
      <c r="AG15" s="43"/>
      <c r="AH15" s="43"/>
      <c r="AI15" s="43"/>
      <c r="AJ15" s="43"/>
      <c r="AK15" s="46">
        <f t="shared" ref="AK15:AK27" si="1">COUNTIF(D15:AJ15,"X")</f>
        <v>0</v>
      </c>
      <c r="AL15" s="46">
        <f t="shared" si="0"/>
        <v>0</v>
      </c>
      <c r="AM15" s="150"/>
      <c r="AN15" s="151"/>
      <c r="AO15" s="151"/>
      <c r="AP15" s="152"/>
    </row>
    <row r="16" spans="1:51" ht="14.1" customHeight="1">
      <c r="A16" s="42">
        <v>3</v>
      </c>
      <c r="B16" s="53"/>
      <c r="C16" s="85"/>
      <c r="D16" s="85"/>
      <c r="E16" s="43"/>
      <c r="F16" s="98"/>
      <c r="G16" s="43"/>
      <c r="H16" s="43"/>
      <c r="I16" s="23"/>
      <c r="J16" s="43"/>
      <c r="K16" s="43"/>
      <c r="L16" s="43"/>
      <c r="M16" s="43"/>
      <c r="N16" s="98"/>
      <c r="O16" s="43"/>
      <c r="P16" s="23"/>
      <c r="Q16" s="43"/>
      <c r="R16" s="43"/>
      <c r="S16" s="43"/>
      <c r="T16" s="43"/>
      <c r="U16" s="43"/>
      <c r="V16" s="43"/>
      <c r="W16" s="22"/>
      <c r="X16" s="43"/>
      <c r="Y16" s="43"/>
      <c r="Z16" s="43"/>
      <c r="AA16" s="43"/>
      <c r="AB16" s="43"/>
      <c r="AC16" s="43"/>
      <c r="AD16" s="23"/>
      <c r="AE16" s="43"/>
      <c r="AF16" s="43"/>
      <c r="AG16" s="43"/>
      <c r="AH16" s="43"/>
      <c r="AI16" s="43"/>
      <c r="AJ16" s="43"/>
      <c r="AK16" s="46">
        <f t="shared" si="1"/>
        <v>0</v>
      </c>
      <c r="AL16" s="46">
        <f t="shared" si="0"/>
        <v>0</v>
      </c>
      <c r="AM16" s="150"/>
      <c r="AN16" s="151"/>
      <c r="AO16" s="151"/>
      <c r="AP16" s="152"/>
    </row>
    <row r="17" spans="1:42" ht="14.1" customHeight="1">
      <c r="A17" s="42">
        <v>4</v>
      </c>
      <c r="B17" s="53"/>
      <c r="C17" s="85"/>
      <c r="D17" s="85"/>
      <c r="E17" s="43"/>
      <c r="F17" s="98"/>
      <c r="G17" s="43"/>
      <c r="H17" s="43"/>
      <c r="I17" s="23"/>
      <c r="J17" s="43"/>
      <c r="K17" s="43"/>
      <c r="L17" s="43"/>
      <c r="M17" s="43"/>
      <c r="N17" s="98"/>
      <c r="O17" s="43"/>
      <c r="P17" s="23"/>
      <c r="Q17" s="43"/>
      <c r="R17" s="43"/>
      <c r="S17" s="43"/>
      <c r="T17" s="43"/>
      <c r="U17" s="43"/>
      <c r="V17" s="43"/>
      <c r="W17" s="22"/>
      <c r="X17" s="43"/>
      <c r="Y17" s="43"/>
      <c r="Z17" s="43"/>
      <c r="AA17" s="43"/>
      <c r="AB17" s="43"/>
      <c r="AC17" s="43"/>
      <c r="AD17" s="23"/>
      <c r="AE17" s="43"/>
      <c r="AF17" s="43"/>
      <c r="AG17" s="43"/>
      <c r="AH17" s="43"/>
      <c r="AI17" s="43"/>
      <c r="AJ17" s="43"/>
      <c r="AK17" s="46">
        <f t="shared" si="1"/>
        <v>0</v>
      </c>
      <c r="AL17" s="46">
        <f t="shared" si="0"/>
        <v>0</v>
      </c>
      <c r="AM17" s="150"/>
      <c r="AN17" s="151"/>
      <c r="AO17" s="151"/>
      <c r="AP17" s="152"/>
    </row>
    <row r="18" spans="1:42" ht="14.1" customHeight="1">
      <c r="A18" s="42">
        <v>5</v>
      </c>
      <c r="B18" s="53"/>
      <c r="C18" s="85"/>
      <c r="D18" s="85"/>
      <c r="E18" s="43"/>
      <c r="F18" s="98"/>
      <c r="G18" s="43"/>
      <c r="H18" s="43"/>
      <c r="I18" s="23"/>
      <c r="J18" s="43"/>
      <c r="K18" s="43"/>
      <c r="L18" s="43"/>
      <c r="M18" s="43"/>
      <c r="N18" s="98"/>
      <c r="O18" s="43"/>
      <c r="P18" s="23"/>
      <c r="Q18" s="43"/>
      <c r="R18" s="43"/>
      <c r="S18" s="43"/>
      <c r="T18" s="43"/>
      <c r="U18" s="43"/>
      <c r="V18" s="43"/>
      <c r="W18" s="22"/>
      <c r="X18" s="43"/>
      <c r="Y18" s="43"/>
      <c r="Z18" s="43"/>
      <c r="AA18" s="43"/>
      <c r="AB18" s="43"/>
      <c r="AC18" s="43"/>
      <c r="AD18" s="23"/>
      <c r="AE18" s="43"/>
      <c r="AF18" s="43"/>
      <c r="AG18" s="43"/>
      <c r="AH18" s="43"/>
      <c r="AI18" s="43"/>
      <c r="AJ18" s="43"/>
      <c r="AK18" s="46">
        <f t="shared" si="1"/>
        <v>0</v>
      </c>
      <c r="AL18" s="46">
        <f t="shared" si="0"/>
        <v>0</v>
      </c>
      <c r="AM18" s="150"/>
      <c r="AN18" s="151"/>
      <c r="AO18" s="151"/>
      <c r="AP18" s="152"/>
    </row>
    <row r="19" spans="1:42" ht="14.1" customHeight="1">
      <c r="A19" s="42">
        <v>6</v>
      </c>
      <c r="B19" s="53"/>
      <c r="C19" s="85"/>
      <c r="D19" s="85"/>
      <c r="E19" s="43"/>
      <c r="F19" s="98"/>
      <c r="G19" s="43"/>
      <c r="H19" s="43"/>
      <c r="I19" s="23"/>
      <c r="J19" s="43"/>
      <c r="K19" s="43"/>
      <c r="L19" s="43"/>
      <c r="M19" s="43"/>
      <c r="N19" s="98"/>
      <c r="O19" s="43"/>
      <c r="P19" s="23"/>
      <c r="Q19" s="43"/>
      <c r="R19" s="43"/>
      <c r="S19" s="43"/>
      <c r="T19" s="43"/>
      <c r="U19" s="43"/>
      <c r="V19" s="43"/>
      <c r="W19" s="22"/>
      <c r="X19" s="43"/>
      <c r="Y19" s="43"/>
      <c r="Z19" s="43"/>
      <c r="AA19" s="43"/>
      <c r="AB19" s="43"/>
      <c r="AC19" s="43"/>
      <c r="AD19" s="23"/>
      <c r="AE19" s="43"/>
      <c r="AF19" s="43"/>
      <c r="AG19" s="43"/>
      <c r="AH19" s="43"/>
      <c r="AI19" s="43"/>
      <c r="AJ19" s="43"/>
      <c r="AK19" s="46">
        <f t="shared" si="1"/>
        <v>0</v>
      </c>
      <c r="AL19" s="46">
        <f t="shared" si="0"/>
        <v>0</v>
      </c>
      <c r="AM19" s="150"/>
      <c r="AN19" s="151"/>
      <c r="AO19" s="151"/>
      <c r="AP19" s="152"/>
    </row>
    <row r="20" spans="1:42" ht="14.1" customHeight="1">
      <c r="A20" s="42">
        <v>7</v>
      </c>
      <c r="B20" s="53"/>
      <c r="C20" s="85"/>
      <c r="D20" s="85"/>
      <c r="E20" s="43"/>
      <c r="F20" s="98"/>
      <c r="G20" s="43"/>
      <c r="H20" s="43"/>
      <c r="I20" s="23"/>
      <c r="J20" s="43"/>
      <c r="K20" s="43"/>
      <c r="L20" s="43"/>
      <c r="M20" s="43"/>
      <c r="N20" s="98"/>
      <c r="O20" s="43"/>
      <c r="P20" s="23"/>
      <c r="Q20" s="43"/>
      <c r="R20" s="43"/>
      <c r="S20" s="43"/>
      <c r="T20" s="43"/>
      <c r="U20" s="43"/>
      <c r="V20" s="43"/>
      <c r="W20" s="22"/>
      <c r="X20" s="43"/>
      <c r="Y20" s="43"/>
      <c r="Z20" s="43"/>
      <c r="AA20" s="43"/>
      <c r="AB20" s="43"/>
      <c r="AC20" s="43"/>
      <c r="AD20" s="23"/>
      <c r="AE20" s="43"/>
      <c r="AF20" s="43"/>
      <c r="AG20" s="43"/>
      <c r="AH20" s="43"/>
      <c r="AI20" s="43"/>
      <c r="AJ20" s="43"/>
      <c r="AK20" s="46">
        <f t="shared" si="1"/>
        <v>0</v>
      </c>
      <c r="AL20" s="46">
        <f t="shared" si="0"/>
        <v>0</v>
      </c>
      <c r="AM20" s="150"/>
      <c r="AN20" s="151"/>
      <c r="AO20" s="151"/>
      <c r="AP20" s="152"/>
    </row>
    <row r="21" spans="1:42" ht="14.1" customHeight="1">
      <c r="A21" s="42">
        <v>8</v>
      </c>
      <c r="B21" s="53"/>
      <c r="C21" s="85"/>
      <c r="D21" s="85"/>
      <c r="E21" s="43"/>
      <c r="F21" s="98"/>
      <c r="G21" s="43"/>
      <c r="H21" s="43"/>
      <c r="I21" s="23"/>
      <c r="J21" s="43"/>
      <c r="K21" s="43"/>
      <c r="L21" s="43"/>
      <c r="M21" s="43"/>
      <c r="N21" s="98"/>
      <c r="O21" s="43"/>
      <c r="P21" s="23"/>
      <c r="Q21" s="43"/>
      <c r="R21" s="43"/>
      <c r="S21" s="43"/>
      <c r="T21" s="43"/>
      <c r="U21" s="43"/>
      <c r="V21" s="43"/>
      <c r="W21" s="22"/>
      <c r="X21" s="43"/>
      <c r="Y21" s="43"/>
      <c r="Z21" s="43"/>
      <c r="AA21" s="43"/>
      <c r="AB21" s="43"/>
      <c r="AC21" s="43"/>
      <c r="AD21" s="23"/>
      <c r="AE21" s="43"/>
      <c r="AF21" s="43"/>
      <c r="AG21" s="43"/>
      <c r="AH21" s="43"/>
      <c r="AI21" s="43"/>
      <c r="AJ21" s="43"/>
      <c r="AK21" s="46">
        <f t="shared" si="1"/>
        <v>0</v>
      </c>
      <c r="AL21" s="46">
        <f t="shared" si="0"/>
        <v>0</v>
      </c>
      <c r="AM21" s="150"/>
      <c r="AN21" s="151"/>
      <c r="AO21" s="151"/>
      <c r="AP21" s="152"/>
    </row>
    <row r="22" spans="1:42" ht="14.1" customHeight="1">
      <c r="A22" s="42">
        <v>9</v>
      </c>
      <c r="B22" s="52"/>
      <c r="C22" s="43"/>
      <c r="D22" s="43"/>
      <c r="E22" s="43"/>
      <c r="F22" s="98"/>
      <c r="G22" s="43"/>
      <c r="H22" s="43"/>
      <c r="I22" s="23"/>
      <c r="J22" s="43"/>
      <c r="K22" s="43"/>
      <c r="L22" s="43"/>
      <c r="M22" s="43"/>
      <c r="N22" s="98"/>
      <c r="O22" s="43"/>
      <c r="P22" s="23"/>
      <c r="Q22" s="43"/>
      <c r="R22" s="43"/>
      <c r="S22" s="43"/>
      <c r="T22" s="43"/>
      <c r="U22" s="43"/>
      <c r="V22" s="43"/>
      <c r="W22" s="22"/>
      <c r="X22" s="43"/>
      <c r="Y22" s="43"/>
      <c r="Z22" s="43"/>
      <c r="AA22" s="43"/>
      <c r="AB22" s="43"/>
      <c r="AC22" s="43"/>
      <c r="AD22" s="23"/>
      <c r="AE22" s="43"/>
      <c r="AF22" s="43"/>
      <c r="AG22" s="43"/>
      <c r="AH22" s="43"/>
      <c r="AI22" s="43"/>
      <c r="AJ22" s="43"/>
      <c r="AK22" s="46">
        <f t="shared" si="1"/>
        <v>0</v>
      </c>
      <c r="AL22" s="46">
        <f t="shared" si="0"/>
        <v>0</v>
      </c>
      <c r="AM22" s="150"/>
      <c r="AN22" s="151"/>
      <c r="AO22" s="151"/>
      <c r="AP22" s="152"/>
    </row>
    <row r="23" spans="1:42" ht="14.1" customHeight="1">
      <c r="A23" s="42">
        <v>10</v>
      </c>
      <c r="B23" s="53"/>
      <c r="C23" s="43"/>
      <c r="D23" s="43"/>
      <c r="E23" s="43"/>
      <c r="F23" s="98"/>
      <c r="G23" s="43"/>
      <c r="H23" s="43"/>
      <c r="I23" s="23"/>
      <c r="J23" s="43"/>
      <c r="K23" s="43"/>
      <c r="L23" s="43"/>
      <c r="M23" s="43"/>
      <c r="N23" s="98"/>
      <c r="O23" s="43"/>
      <c r="P23" s="23"/>
      <c r="Q23" s="43"/>
      <c r="R23" s="43"/>
      <c r="S23" s="43"/>
      <c r="T23" s="43"/>
      <c r="U23" s="43"/>
      <c r="V23" s="43"/>
      <c r="W23" s="22"/>
      <c r="X23" s="43"/>
      <c r="Y23" s="43"/>
      <c r="Z23" s="43"/>
      <c r="AA23" s="43"/>
      <c r="AB23" s="43"/>
      <c r="AC23" s="43"/>
      <c r="AD23" s="23"/>
      <c r="AE23" s="43"/>
      <c r="AF23" s="43"/>
      <c r="AG23" s="43"/>
      <c r="AH23" s="43"/>
      <c r="AI23" s="43"/>
      <c r="AJ23" s="43"/>
      <c r="AK23" s="46">
        <f t="shared" si="1"/>
        <v>0</v>
      </c>
      <c r="AL23" s="46">
        <f t="shared" si="0"/>
        <v>0</v>
      </c>
      <c r="AM23" s="150"/>
      <c r="AN23" s="151"/>
      <c r="AO23" s="151"/>
      <c r="AP23" s="152"/>
    </row>
    <row r="24" spans="1:42" ht="14.1" customHeight="1">
      <c r="A24" s="42">
        <v>11</v>
      </c>
      <c r="B24" s="53"/>
      <c r="C24" s="43"/>
      <c r="D24" s="43"/>
      <c r="E24" s="43"/>
      <c r="F24" s="98"/>
      <c r="G24" s="43"/>
      <c r="H24" s="43"/>
      <c r="I24" s="23"/>
      <c r="J24" s="43"/>
      <c r="K24" s="43"/>
      <c r="L24" s="43"/>
      <c r="M24" s="43"/>
      <c r="N24" s="98"/>
      <c r="O24" s="43"/>
      <c r="P24" s="23"/>
      <c r="Q24" s="43"/>
      <c r="R24" s="43"/>
      <c r="S24" s="43"/>
      <c r="T24" s="43"/>
      <c r="U24" s="43"/>
      <c r="V24" s="43"/>
      <c r="W24" s="22"/>
      <c r="X24" s="43"/>
      <c r="Y24" s="43"/>
      <c r="Z24" s="43"/>
      <c r="AA24" s="43"/>
      <c r="AB24" s="43"/>
      <c r="AC24" s="43"/>
      <c r="AD24" s="23"/>
      <c r="AE24" s="43"/>
      <c r="AF24" s="43"/>
      <c r="AG24" s="43"/>
      <c r="AH24" s="43"/>
      <c r="AI24" s="43"/>
      <c r="AJ24" s="43"/>
      <c r="AK24" s="46">
        <f t="shared" si="1"/>
        <v>0</v>
      </c>
      <c r="AL24" s="46">
        <f t="shared" si="0"/>
        <v>0</v>
      </c>
      <c r="AM24" s="150"/>
      <c r="AN24" s="151"/>
      <c r="AO24" s="151"/>
      <c r="AP24" s="152"/>
    </row>
    <row r="25" spans="1:42" ht="14.1" customHeight="1">
      <c r="A25" s="42">
        <v>12</v>
      </c>
      <c r="B25" s="52"/>
      <c r="C25" s="43"/>
      <c r="D25" s="43"/>
      <c r="E25" s="43"/>
      <c r="F25" s="98"/>
      <c r="G25" s="43"/>
      <c r="H25" s="43"/>
      <c r="I25" s="23"/>
      <c r="J25" s="43"/>
      <c r="K25" s="43"/>
      <c r="L25" s="43"/>
      <c r="M25" s="43"/>
      <c r="N25" s="98"/>
      <c r="O25" s="43"/>
      <c r="P25" s="23"/>
      <c r="Q25" s="43"/>
      <c r="R25" s="43"/>
      <c r="S25" s="43"/>
      <c r="T25" s="43"/>
      <c r="U25" s="43"/>
      <c r="V25" s="43"/>
      <c r="W25" s="22"/>
      <c r="X25" s="43"/>
      <c r="Y25" s="43"/>
      <c r="Z25" s="43"/>
      <c r="AA25" s="43"/>
      <c r="AB25" s="43"/>
      <c r="AC25" s="43"/>
      <c r="AD25" s="23"/>
      <c r="AE25" s="43"/>
      <c r="AF25" s="43"/>
      <c r="AG25" s="43"/>
      <c r="AH25" s="43"/>
      <c r="AI25" s="43"/>
      <c r="AJ25" s="43"/>
      <c r="AK25" s="46">
        <f t="shared" si="1"/>
        <v>0</v>
      </c>
      <c r="AL25" s="46">
        <f t="shared" si="0"/>
        <v>0</v>
      </c>
      <c r="AM25" s="150"/>
      <c r="AN25" s="151"/>
      <c r="AO25" s="151"/>
      <c r="AP25" s="152"/>
    </row>
    <row r="26" spans="1:42" ht="14.1" customHeight="1">
      <c r="A26" s="42">
        <v>13</v>
      </c>
      <c r="B26" s="54"/>
      <c r="C26" s="43"/>
      <c r="D26" s="43"/>
      <c r="E26" s="43"/>
      <c r="F26" s="98"/>
      <c r="G26" s="43"/>
      <c r="H26" s="43"/>
      <c r="I26" s="23"/>
      <c r="J26" s="43"/>
      <c r="K26" s="43"/>
      <c r="L26" s="43"/>
      <c r="M26" s="43"/>
      <c r="N26" s="98"/>
      <c r="O26" s="43"/>
      <c r="P26" s="23"/>
      <c r="Q26" s="43"/>
      <c r="R26" s="43"/>
      <c r="S26" s="43"/>
      <c r="T26" s="43"/>
      <c r="U26" s="43"/>
      <c r="V26" s="43"/>
      <c r="W26" s="22"/>
      <c r="X26" s="43"/>
      <c r="Y26" s="43"/>
      <c r="Z26" s="43"/>
      <c r="AA26" s="43"/>
      <c r="AB26" s="43"/>
      <c r="AC26" s="43"/>
      <c r="AD26" s="23"/>
      <c r="AE26" s="43"/>
      <c r="AF26" s="43"/>
      <c r="AG26" s="43"/>
      <c r="AH26" s="43"/>
      <c r="AI26" s="43"/>
      <c r="AJ26" s="43"/>
      <c r="AK26" s="46">
        <f t="shared" si="1"/>
        <v>0</v>
      </c>
      <c r="AL26" s="46">
        <f t="shared" si="0"/>
        <v>0</v>
      </c>
      <c r="AM26" s="39"/>
      <c r="AN26" s="40"/>
      <c r="AO26" s="40"/>
      <c r="AP26" s="41"/>
    </row>
    <row r="27" spans="1:42" ht="14.1" customHeight="1" thickBot="1">
      <c r="A27" s="50">
        <v>14</v>
      </c>
      <c r="B27" s="55"/>
      <c r="C27" s="43"/>
      <c r="D27" s="43"/>
      <c r="E27" s="43"/>
      <c r="F27" s="98"/>
      <c r="G27" s="43"/>
      <c r="H27" s="43"/>
      <c r="I27" s="23"/>
      <c r="J27" s="43"/>
      <c r="K27" s="43"/>
      <c r="L27" s="43"/>
      <c r="M27" s="43"/>
      <c r="N27" s="98"/>
      <c r="O27" s="43"/>
      <c r="P27" s="23"/>
      <c r="Q27" s="43"/>
      <c r="R27" s="43"/>
      <c r="S27" s="43"/>
      <c r="T27" s="43"/>
      <c r="U27" s="43"/>
      <c r="V27" s="43"/>
      <c r="W27" s="22"/>
      <c r="X27" s="43"/>
      <c r="Y27" s="43"/>
      <c r="Z27" s="43"/>
      <c r="AA27" s="43"/>
      <c r="AB27" s="43"/>
      <c r="AC27" s="43"/>
      <c r="AD27" s="23"/>
      <c r="AE27" s="43"/>
      <c r="AF27" s="43"/>
      <c r="AG27" s="43"/>
      <c r="AH27" s="43"/>
      <c r="AI27" s="43"/>
      <c r="AJ27" s="43"/>
      <c r="AK27" s="46">
        <f t="shared" si="1"/>
        <v>0</v>
      </c>
      <c r="AL27" s="46">
        <f t="shared" si="0"/>
        <v>0</v>
      </c>
      <c r="AM27" s="150"/>
      <c r="AN27" s="151"/>
      <c r="AO27" s="151"/>
      <c r="AP27" s="152"/>
    </row>
    <row r="28" spans="1:42" ht="15.75" thickBot="1">
      <c r="A28" s="156" t="s">
        <v>34</v>
      </c>
      <c r="B28" s="157"/>
      <c r="C28" s="48"/>
      <c r="D28" s="48"/>
      <c r="E28" s="48"/>
      <c r="F28" s="98"/>
      <c r="G28" s="48">
        <f t="shared" ref="G28:H28" si="2">ROWS(G14:G27) - COUNTIF(G14:G27,"X")</f>
        <v>14</v>
      </c>
      <c r="H28" s="48">
        <f t="shared" si="2"/>
        <v>14</v>
      </c>
      <c r="I28" s="45"/>
      <c r="J28" s="48">
        <f t="shared" ref="J28:O28" si="3">ROWS(J14:J27) - COUNTIF(J14:J27,"X")</f>
        <v>14</v>
      </c>
      <c r="K28" s="48">
        <f t="shared" si="3"/>
        <v>13</v>
      </c>
      <c r="L28" s="48">
        <f t="shared" si="3"/>
        <v>14</v>
      </c>
      <c r="M28" s="48">
        <f t="shared" si="3"/>
        <v>14</v>
      </c>
      <c r="N28" s="98"/>
      <c r="O28" s="48">
        <f t="shared" si="3"/>
        <v>14</v>
      </c>
      <c r="P28" s="45"/>
      <c r="Q28" s="48">
        <f t="shared" ref="Q28:V28" si="4">ROWS(Q14:Q27) - COUNTIF(Q14:Q27,"X")</f>
        <v>14</v>
      </c>
      <c r="R28" s="48">
        <f t="shared" si="4"/>
        <v>14</v>
      </c>
      <c r="S28" s="48">
        <f t="shared" si="4"/>
        <v>14</v>
      </c>
      <c r="T28" s="48">
        <f t="shared" si="4"/>
        <v>14</v>
      </c>
      <c r="U28" s="48">
        <f t="shared" si="4"/>
        <v>14</v>
      </c>
      <c r="V28" s="48">
        <f t="shared" si="4"/>
        <v>14</v>
      </c>
      <c r="W28" s="45"/>
      <c r="X28" s="48"/>
      <c r="Y28" s="48"/>
      <c r="Z28" s="48"/>
      <c r="AA28" s="48"/>
      <c r="AB28" s="48"/>
      <c r="AC28" s="48"/>
      <c r="AD28" s="45"/>
      <c r="AE28" s="48"/>
      <c r="AF28" s="48"/>
      <c r="AG28" s="48"/>
      <c r="AH28" s="48"/>
      <c r="AI28" s="48"/>
      <c r="AJ28" s="48"/>
      <c r="AK28" s="47">
        <f>SUM(AK14:AK27)</f>
        <v>1</v>
      </c>
      <c r="AL28" s="47">
        <f>SUM(AL14:AL27)</f>
        <v>1</v>
      </c>
      <c r="AM28" s="141">
        <f>SUM(C28:AJ28)</f>
        <v>181</v>
      </c>
      <c r="AN28" s="141"/>
      <c r="AO28" s="141"/>
      <c r="AP28" s="142"/>
    </row>
    <row r="29" spans="1:42" ht="14.1" customHeight="1">
      <c r="A29" s="49">
        <v>1</v>
      </c>
      <c r="B29" s="51"/>
      <c r="C29" s="43"/>
      <c r="D29" s="43"/>
      <c r="E29" s="43"/>
      <c r="F29" s="98"/>
      <c r="G29" s="43"/>
      <c r="H29" s="43"/>
      <c r="I29" s="22"/>
      <c r="J29" s="43"/>
      <c r="K29" s="43"/>
      <c r="L29" s="43"/>
      <c r="M29" s="43"/>
      <c r="N29" s="98"/>
      <c r="O29" s="43"/>
      <c r="P29" s="22"/>
      <c r="Q29" s="43"/>
      <c r="R29" s="43"/>
      <c r="S29" s="43"/>
      <c r="T29" s="43"/>
      <c r="U29" s="43"/>
      <c r="V29" s="43"/>
      <c r="W29" s="22"/>
      <c r="X29" s="43"/>
      <c r="Y29" s="43"/>
      <c r="Z29" s="43"/>
      <c r="AA29" s="43"/>
      <c r="AB29" s="43"/>
      <c r="AC29" s="43"/>
      <c r="AD29" s="22"/>
      <c r="AE29" s="43"/>
      <c r="AF29" s="43"/>
      <c r="AG29" s="43"/>
      <c r="AH29" s="43"/>
      <c r="AI29" s="43"/>
      <c r="AJ29" s="43"/>
      <c r="AK29" s="46">
        <f t="shared" ref="AK29:AK64" si="5">COUNTIF(D29:AJ29,"X")</f>
        <v>0</v>
      </c>
      <c r="AL29" s="46">
        <f t="shared" ref="AL29:AL64" si="6">COUNTIF(D29:AJ29,"T")</f>
        <v>0</v>
      </c>
      <c r="AM29" s="153"/>
      <c r="AN29" s="154"/>
      <c r="AO29" s="154"/>
      <c r="AP29" s="155"/>
    </row>
    <row r="30" spans="1:42" ht="14.1" customHeight="1">
      <c r="A30" s="42">
        <v>2</v>
      </c>
      <c r="B30" s="52"/>
      <c r="C30" s="43"/>
      <c r="D30" s="43"/>
      <c r="E30" s="43"/>
      <c r="F30" s="98"/>
      <c r="G30" s="43"/>
      <c r="H30" s="43"/>
      <c r="I30" s="22"/>
      <c r="J30" s="43"/>
      <c r="K30" s="43"/>
      <c r="L30" s="43"/>
      <c r="M30" s="43"/>
      <c r="N30" s="98"/>
      <c r="O30" s="43"/>
      <c r="P30" s="22"/>
      <c r="Q30" s="43"/>
      <c r="R30" s="43"/>
      <c r="S30" s="43"/>
      <c r="T30" s="43"/>
      <c r="U30" s="43"/>
      <c r="V30" s="43"/>
      <c r="W30" s="22"/>
      <c r="X30" s="43"/>
      <c r="Y30" s="43"/>
      <c r="Z30" s="43"/>
      <c r="AA30" s="43"/>
      <c r="AB30" s="43"/>
      <c r="AC30" s="43"/>
      <c r="AD30" s="22"/>
      <c r="AE30" s="43"/>
      <c r="AF30" s="43"/>
      <c r="AG30" s="43"/>
      <c r="AH30" s="43"/>
      <c r="AI30" s="43"/>
      <c r="AJ30" s="43"/>
      <c r="AK30" s="46">
        <f t="shared" si="5"/>
        <v>0</v>
      </c>
      <c r="AL30" s="46">
        <f t="shared" si="6"/>
        <v>0</v>
      </c>
      <c r="AM30" s="150"/>
      <c r="AN30" s="151"/>
      <c r="AO30" s="151"/>
      <c r="AP30" s="152"/>
    </row>
    <row r="31" spans="1:42" ht="14.1" customHeight="1">
      <c r="A31" s="42">
        <v>3</v>
      </c>
      <c r="B31" s="52"/>
      <c r="C31" s="43"/>
      <c r="D31" s="43"/>
      <c r="E31" s="43"/>
      <c r="F31" s="98"/>
      <c r="G31" s="43"/>
      <c r="H31" s="43"/>
      <c r="I31" s="22"/>
      <c r="J31" s="43"/>
      <c r="K31" s="43"/>
      <c r="L31" s="43"/>
      <c r="M31" s="43"/>
      <c r="N31" s="98"/>
      <c r="O31" s="43"/>
      <c r="P31" s="22"/>
      <c r="Q31" s="43"/>
      <c r="R31" s="43"/>
      <c r="S31" s="43"/>
      <c r="T31" s="43"/>
      <c r="U31" s="43"/>
      <c r="V31" s="43"/>
      <c r="W31" s="22"/>
      <c r="X31" s="43"/>
      <c r="Y31" s="43"/>
      <c r="Z31" s="43"/>
      <c r="AA31" s="43"/>
      <c r="AB31" s="43"/>
      <c r="AC31" s="43"/>
      <c r="AD31" s="22"/>
      <c r="AE31" s="43"/>
      <c r="AF31" s="43"/>
      <c r="AG31" s="43"/>
      <c r="AH31" s="43"/>
      <c r="AI31" s="43"/>
      <c r="AJ31" s="43"/>
      <c r="AK31" s="46">
        <f t="shared" si="5"/>
        <v>0</v>
      </c>
      <c r="AL31" s="46">
        <f t="shared" si="6"/>
        <v>0</v>
      </c>
      <c r="AM31" s="150"/>
      <c r="AN31" s="151"/>
      <c r="AO31" s="151"/>
      <c r="AP31" s="152"/>
    </row>
    <row r="32" spans="1:42" ht="14.1" customHeight="1">
      <c r="A32" s="42">
        <v>4</v>
      </c>
      <c r="B32" s="52"/>
      <c r="C32" s="43"/>
      <c r="D32" s="43"/>
      <c r="E32" s="43"/>
      <c r="F32" s="98"/>
      <c r="G32" s="43"/>
      <c r="H32" s="43"/>
      <c r="I32" s="22"/>
      <c r="J32" s="43"/>
      <c r="K32" s="43"/>
      <c r="L32" s="43"/>
      <c r="M32" s="43"/>
      <c r="N32" s="98"/>
      <c r="O32" s="43"/>
      <c r="P32" s="22"/>
      <c r="Q32" s="43"/>
      <c r="R32" s="43"/>
      <c r="S32" s="43"/>
      <c r="T32" s="43"/>
      <c r="U32" s="43"/>
      <c r="V32" s="43"/>
      <c r="W32" s="22"/>
      <c r="X32" s="43"/>
      <c r="Y32" s="43"/>
      <c r="Z32" s="43"/>
      <c r="AA32" s="43"/>
      <c r="AB32" s="43"/>
      <c r="AC32" s="43"/>
      <c r="AD32" s="22"/>
      <c r="AE32" s="43"/>
      <c r="AF32" s="43"/>
      <c r="AG32" s="43"/>
      <c r="AH32" s="43"/>
      <c r="AI32" s="43"/>
      <c r="AJ32" s="43"/>
      <c r="AK32" s="46">
        <f t="shared" si="5"/>
        <v>0</v>
      </c>
      <c r="AL32" s="46">
        <f t="shared" si="6"/>
        <v>0</v>
      </c>
      <c r="AM32" s="150"/>
      <c r="AN32" s="151"/>
      <c r="AO32" s="151"/>
      <c r="AP32" s="152"/>
    </row>
    <row r="33" spans="1:42" ht="14.1" customHeight="1">
      <c r="A33" s="42">
        <v>5</v>
      </c>
      <c r="B33" s="52"/>
      <c r="C33" s="43"/>
      <c r="D33" s="43"/>
      <c r="E33" s="43"/>
      <c r="F33" s="98"/>
      <c r="G33" s="43"/>
      <c r="H33" s="43"/>
      <c r="I33" s="22"/>
      <c r="J33" s="43"/>
      <c r="K33" s="43"/>
      <c r="L33" s="43"/>
      <c r="M33" s="43"/>
      <c r="N33" s="98"/>
      <c r="O33" s="43"/>
      <c r="P33" s="22"/>
      <c r="Q33" s="43"/>
      <c r="R33" s="43"/>
      <c r="S33" s="43"/>
      <c r="T33" s="43"/>
      <c r="U33" s="43"/>
      <c r="V33" s="43"/>
      <c r="W33" s="22"/>
      <c r="X33" s="43"/>
      <c r="Y33" s="43"/>
      <c r="Z33" s="43"/>
      <c r="AA33" s="43"/>
      <c r="AB33" s="43"/>
      <c r="AC33" s="43"/>
      <c r="AD33" s="22"/>
      <c r="AE33" s="43"/>
      <c r="AF33" s="43"/>
      <c r="AG33" s="43"/>
      <c r="AH33" s="43"/>
      <c r="AI33" s="43"/>
      <c r="AJ33" s="43"/>
      <c r="AK33" s="46">
        <f t="shared" si="5"/>
        <v>0</v>
      </c>
      <c r="AL33" s="46">
        <f t="shared" si="6"/>
        <v>0</v>
      </c>
      <c r="AM33" s="150"/>
      <c r="AN33" s="151"/>
      <c r="AO33" s="151"/>
      <c r="AP33" s="152"/>
    </row>
    <row r="34" spans="1:42" ht="14.1" customHeight="1">
      <c r="A34" s="42">
        <v>6</v>
      </c>
      <c r="B34" s="52"/>
      <c r="C34" s="43"/>
      <c r="D34" s="43"/>
      <c r="E34" s="43"/>
      <c r="F34" s="98"/>
      <c r="G34" s="43"/>
      <c r="H34" s="43"/>
      <c r="I34" s="22"/>
      <c r="J34" s="43"/>
      <c r="K34" s="43"/>
      <c r="L34" s="43"/>
      <c r="M34" s="43"/>
      <c r="N34" s="98"/>
      <c r="O34" s="43"/>
      <c r="P34" s="22"/>
      <c r="Q34" s="43"/>
      <c r="R34" s="43"/>
      <c r="S34" s="43"/>
      <c r="T34" s="43"/>
      <c r="U34" s="43"/>
      <c r="V34" s="43"/>
      <c r="W34" s="22"/>
      <c r="X34" s="43"/>
      <c r="Y34" s="43"/>
      <c r="Z34" s="43"/>
      <c r="AA34" s="43"/>
      <c r="AB34" s="43"/>
      <c r="AC34" s="43"/>
      <c r="AD34" s="22"/>
      <c r="AE34" s="43"/>
      <c r="AF34" s="43"/>
      <c r="AG34" s="43"/>
      <c r="AH34" s="43"/>
      <c r="AI34" s="43"/>
      <c r="AJ34" s="43"/>
      <c r="AK34" s="46">
        <f t="shared" si="5"/>
        <v>0</v>
      </c>
      <c r="AL34" s="46">
        <f t="shared" si="6"/>
        <v>0</v>
      </c>
      <c r="AM34" s="150"/>
      <c r="AN34" s="151"/>
      <c r="AO34" s="151"/>
      <c r="AP34" s="152"/>
    </row>
    <row r="35" spans="1:42" ht="14.1" customHeight="1">
      <c r="A35" s="42">
        <v>7</v>
      </c>
      <c r="B35" s="52"/>
      <c r="C35" s="43"/>
      <c r="D35" s="43"/>
      <c r="E35" s="43"/>
      <c r="F35" s="98"/>
      <c r="G35" s="43"/>
      <c r="H35" s="43"/>
      <c r="I35" s="22"/>
      <c r="J35" s="43"/>
      <c r="K35" s="43"/>
      <c r="L35" s="43"/>
      <c r="M35" s="43"/>
      <c r="N35" s="98"/>
      <c r="O35" s="43"/>
      <c r="P35" s="22"/>
      <c r="Q35" s="43"/>
      <c r="R35" s="43"/>
      <c r="S35" s="43"/>
      <c r="T35" s="43"/>
      <c r="U35" s="43"/>
      <c r="V35" s="43"/>
      <c r="W35" s="22"/>
      <c r="X35" s="43"/>
      <c r="Y35" s="43"/>
      <c r="Z35" s="43"/>
      <c r="AA35" s="43"/>
      <c r="AB35" s="43"/>
      <c r="AC35" s="43"/>
      <c r="AD35" s="22"/>
      <c r="AE35" s="43"/>
      <c r="AF35" s="43"/>
      <c r="AG35" s="43"/>
      <c r="AH35" s="43"/>
      <c r="AI35" s="43"/>
      <c r="AJ35" s="43"/>
      <c r="AK35" s="46">
        <f t="shared" si="5"/>
        <v>0</v>
      </c>
      <c r="AL35" s="46">
        <f t="shared" si="6"/>
        <v>0</v>
      </c>
      <c r="AM35" s="150"/>
      <c r="AN35" s="151"/>
      <c r="AO35" s="151"/>
      <c r="AP35" s="152"/>
    </row>
    <row r="36" spans="1:42" ht="14.1" customHeight="1">
      <c r="A36" s="42">
        <v>8</v>
      </c>
      <c r="B36" s="52"/>
      <c r="C36" s="43"/>
      <c r="D36" s="43"/>
      <c r="E36" s="43"/>
      <c r="F36" s="98"/>
      <c r="G36" s="43"/>
      <c r="H36" s="43"/>
      <c r="I36" s="22"/>
      <c r="J36" s="43"/>
      <c r="K36" s="43"/>
      <c r="L36" s="43"/>
      <c r="M36" s="43"/>
      <c r="N36" s="98"/>
      <c r="O36" s="43"/>
      <c r="P36" s="22"/>
      <c r="Q36" s="43"/>
      <c r="R36" s="43"/>
      <c r="S36" s="43"/>
      <c r="T36" s="43"/>
      <c r="U36" s="43"/>
      <c r="V36" s="43"/>
      <c r="W36" s="22"/>
      <c r="X36" s="43"/>
      <c r="Y36" s="43"/>
      <c r="Z36" s="43"/>
      <c r="AA36" s="43"/>
      <c r="AB36" s="43"/>
      <c r="AC36" s="43"/>
      <c r="AD36" s="22"/>
      <c r="AE36" s="43"/>
      <c r="AF36" s="43"/>
      <c r="AG36" s="43"/>
      <c r="AH36" s="43"/>
      <c r="AI36" s="43"/>
      <c r="AJ36" s="43"/>
      <c r="AK36" s="46">
        <f t="shared" si="5"/>
        <v>0</v>
      </c>
      <c r="AL36" s="46">
        <f t="shared" si="6"/>
        <v>0</v>
      </c>
      <c r="AM36" s="150"/>
      <c r="AN36" s="151"/>
      <c r="AO36" s="151"/>
      <c r="AP36" s="152"/>
    </row>
    <row r="37" spans="1:42" ht="14.1" customHeight="1">
      <c r="A37" s="42">
        <v>9</v>
      </c>
      <c r="B37" s="52"/>
      <c r="C37" s="43"/>
      <c r="D37" s="43"/>
      <c r="E37" s="43"/>
      <c r="F37" s="98"/>
      <c r="G37" s="43"/>
      <c r="H37" s="43"/>
      <c r="I37" s="22"/>
      <c r="J37" s="43"/>
      <c r="K37" s="43"/>
      <c r="L37" s="43"/>
      <c r="M37" s="43"/>
      <c r="N37" s="98"/>
      <c r="O37" s="43"/>
      <c r="P37" s="22"/>
      <c r="Q37" s="43"/>
      <c r="R37" s="43"/>
      <c r="S37" s="43"/>
      <c r="T37" s="43"/>
      <c r="U37" s="43"/>
      <c r="V37" s="43"/>
      <c r="W37" s="22"/>
      <c r="X37" s="43"/>
      <c r="Y37" s="43"/>
      <c r="Z37" s="43"/>
      <c r="AA37" s="43"/>
      <c r="AB37" s="43"/>
      <c r="AC37" s="43"/>
      <c r="AD37" s="22"/>
      <c r="AE37" s="43"/>
      <c r="AF37" s="43"/>
      <c r="AG37" s="43"/>
      <c r="AH37" s="43"/>
      <c r="AI37" s="43"/>
      <c r="AJ37" s="43"/>
      <c r="AK37" s="46">
        <f t="shared" si="5"/>
        <v>0</v>
      </c>
      <c r="AL37" s="46">
        <f t="shared" si="6"/>
        <v>0</v>
      </c>
      <c r="AM37" s="150"/>
      <c r="AN37" s="151"/>
      <c r="AO37" s="151"/>
      <c r="AP37" s="152"/>
    </row>
    <row r="38" spans="1:42" ht="14.1" customHeight="1">
      <c r="A38" s="42">
        <v>10</v>
      </c>
      <c r="B38" s="52"/>
      <c r="C38" s="43"/>
      <c r="D38" s="43"/>
      <c r="E38" s="43"/>
      <c r="F38" s="98"/>
      <c r="G38" s="43"/>
      <c r="H38" s="43"/>
      <c r="I38" s="22"/>
      <c r="J38" s="43"/>
      <c r="K38" s="43"/>
      <c r="L38" s="43"/>
      <c r="M38" s="43"/>
      <c r="N38" s="98"/>
      <c r="O38" s="43"/>
      <c r="P38" s="22"/>
      <c r="Q38" s="43"/>
      <c r="R38" s="43"/>
      <c r="S38" s="43"/>
      <c r="T38" s="43"/>
      <c r="U38" s="43"/>
      <c r="V38" s="43"/>
      <c r="W38" s="22"/>
      <c r="X38" s="43"/>
      <c r="Y38" s="43"/>
      <c r="Z38" s="43"/>
      <c r="AA38" s="43"/>
      <c r="AB38" s="43"/>
      <c r="AC38" s="43"/>
      <c r="AD38" s="22"/>
      <c r="AE38" s="43"/>
      <c r="AF38" s="43"/>
      <c r="AG38" s="43"/>
      <c r="AH38" s="43"/>
      <c r="AI38" s="43"/>
      <c r="AJ38" s="43"/>
      <c r="AK38" s="46">
        <f t="shared" si="5"/>
        <v>0</v>
      </c>
      <c r="AL38" s="46">
        <f t="shared" si="6"/>
        <v>0</v>
      </c>
      <c r="AM38" s="150"/>
      <c r="AN38" s="151"/>
      <c r="AO38" s="151"/>
      <c r="AP38" s="152"/>
    </row>
    <row r="39" spans="1:42" ht="14.1" customHeight="1">
      <c r="A39" s="42">
        <v>11</v>
      </c>
      <c r="B39" s="52"/>
      <c r="C39" s="43"/>
      <c r="D39" s="43"/>
      <c r="E39" s="43"/>
      <c r="F39" s="98"/>
      <c r="G39" s="43"/>
      <c r="H39" s="43"/>
      <c r="I39" s="22"/>
      <c r="J39" s="43"/>
      <c r="K39" s="43"/>
      <c r="L39" s="43"/>
      <c r="M39" s="43"/>
      <c r="N39" s="98"/>
      <c r="O39" s="43"/>
      <c r="P39" s="22"/>
      <c r="Q39" s="43"/>
      <c r="R39" s="43"/>
      <c r="S39" s="43"/>
      <c r="T39" s="43"/>
      <c r="U39" s="43"/>
      <c r="V39" s="43"/>
      <c r="W39" s="22"/>
      <c r="X39" s="43"/>
      <c r="Y39" s="43"/>
      <c r="Z39" s="43"/>
      <c r="AA39" s="43"/>
      <c r="AB39" s="43"/>
      <c r="AC39" s="43"/>
      <c r="AD39" s="22"/>
      <c r="AE39" s="43"/>
      <c r="AF39" s="43"/>
      <c r="AG39" s="43"/>
      <c r="AH39" s="43"/>
      <c r="AI39" s="43"/>
      <c r="AJ39" s="43"/>
      <c r="AK39" s="46">
        <f t="shared" si="5"/>
        <v>0</v>
      </c>
      <c r="AL39" s="46">
        <f t="shared" si="6"/>
        <v>0</v>
      </c>
      <c r="AM39" s="150"/>
      <c r="AN39" s="151"/>
      <c r="AO39" s="151"/>
      <c r="AP39" s="152"/>
    </row>
    <row r="40" spans="1:42" ht="14.1" customHeight="1">
      <c r="A40" s="42">
        <v>12</v>
      </c>
      <c r="B40" s="52"/>
      <c r="C40" s="43"/>
      <c r="D40" s="43"/>
      <c r="E40" s="43"/>
      <c r="F40" s="98"/>
      <c r="G40" s="43"/>
      <c r="H40" s="43"/>
      <c r="I40" s="22"/>
      <c r="J40" s="43"/>
      <c r="K40" s="43"/>
      <c r="L40" s="43"/>
      <c r="M40" s="43"/>
      <c r="N40" s="98"/>
      <c r="O40" s="43"/>
      <c r="P40" s="22"/>
      <c r="Q40" s="43"/>
      <c r="R40" s="43"/>
      <c r="S40" s="43"/>
      <c r="T40" s="43"/>
      <c r="U40" s="43"/>
      <c r="V40" s="43"/>
      <c r="W40" s="22"/>
      <c r="X40" s="43"/>
      <c r="Y40" s="43"/>
      <c r="Z40" s="43"/>
      <c r="AA40" s="43"/>
      <c r="AB40" s="43"/>
      <c r="AC40" s="43"/>
      <c r="AD40" s="22"/>
      <c r="AE40" s="43"/>
      <c r="AF40" s="43"/>
      <c r="AG40" s="43"/>
      <c r="AH40" s="43"/>
      <c r="AI40" s="43"/>
      <c r="AJ40" s="43"/>
      <c r="AK40" s="46">
        <f t="shared" si="5"/>
        <v>0</v>
      </c>
      <c r="AL40" s="46">
        <f t="shared" si="6"/>
        <v>0</v>
      </c>
      <c r="AM40" s="150"/>
      <c r="AN40" s="151"/>
      <c r="AO40" s="151"/>
      <c r="AP40" s="152"/>
    </row>
    <row r="41" spans="1:42" ht="14.1" customHeight="1">
      <c r="A41" s="42">
        <v>13</v>
      </c>
      <c r="B41" s="52"/>
      <c r="C41" s="43"/>
      <c r="D41" s="43"/>
      <c r="E41" s="43"/>
      <c r="F41" s="98"/>
      <c r="G41" s="43"/>
      <c r="H41" s="43"/>
      <c r="I41" s="22"/>
      <c r="J41" s="43"/>
      <c r="K41" s="43"/>
      <c r="L41" s="43"/>
      <c r="M41" s="43"/>
      <c r="N41" s="98"/>
      <c r="O41" s="43"/>
      <c r="P41" s="22"/>
      <c r="Q41" s="43"/>
      <c r="R41" s="43"/>
      <c r="S41" s="43"/>
      <c r="T41" s="43"/>
      <c r="U41" s="43"/>
      <c r="V41" s="43"/>
      <c r="W41" s="22"/>
      <c r="X41" s="43"/>
      <c r="Y41" s="43"/>
      <c r="Z41" s="43"/>
      <c r="AA41" s="43"/>
      <c r="AB41" s="43"/>
      <c r="AC41" s="43"/>
      <c r="AD41" s="22"/>
      <c r="AE41" s="43"/>
      <c r="AF41" s="43"/>
      <c r="AG41" s="43"/>
      <c r="AH41" s="43"/>
      <c r="AI41" s="43"/>
      <c r="AJ41" s="43"/>
      <c r="AK41" s="46">
        <f t="shared" si="5"/>
        <v>0</v>
      </c>
      <c r="AL41" s="46">
        <f t="shared" si="6"/>
        <v>0</v>
      </c>
      <c r="AM41" s="150"/>
      <c r="AN41" s="151"/>
      <c r="AO41" s="151"/>
      <c r="AP41" s="152"/>
    </row>
    <row r="42" spans="1:42" ht="14.1" customHeight="1">
      <c r="A42" s="42">
        <v>14</v>
      </c>
      <c r="B42" s="52"/>
      <c r="C42" s="43"/>
      <c r="D42" s="43"/>
      <c r="E42" s="43"/>
      <c r="F42" s="98"/>
      <c r="G42" s="43"/>
      <c r="H42" s="43"/>
      <c r="I42" s="22"/>
      <c r="J42" s="43"/>
      <c r="K42" s="43"/>
      <c r="L42" s="43"/>
      <c r="M42" s="43"/>
      <c r="N42" s="98"/>
      <c r="O42" s="43"/>
      <c r="P42" s="22"/>
      <c r="Q42" s="43"/>
      <c r="R42" s="43"/>
      <c r="S42" s="43"/>
      <c r="T42" s="43"/>
      <c r="U42" s="43"/>
      <c r="V42" s="43"/>
      <c r="W42" s="22"/>
      <c r="X42" s="43"/>
      <c r="Y42" s="43"/>
      <c r="Z42" s="43"/>
      <c r="AA42" s="43"/>
      <c r="AB42" s="43"/>
      <c r="AC42" s="43"/>
      <c r="AD42" s="22"/>
      <c r="AE42" s="43"/>
      <c r="AF42" s="43"/>
      <c r="AG42" s="43"/>
      <c r="AH42" s="43"/>
      <c r="AI42" s="43"/>
      <c r="AJ42" s="43"/>
      <c r="AK42" s="46">
        <f t="shared" si="5"/>
        <v>0</v>
      </c>
      <c r="AL42" s="46">
        <f t="shared" si="6"/>
        <v>0</v>
      </c>
      <c r="AM42" s="150"/>
      <c r="AN42" s="151"/>
      <c r="AO42" s="151"/>
      <c r="AP42" s="152"/>
    </row>
    <row r="43" spans="1:42" ht="14.1" customHeight="1">
      <c r="A43" s="42">
        <v>15</v>
      </c>
      <c r="B43" s="52"/>
      <c r="C43" s="43"/>
      <c r="D43" s="43"/>
      <c r="E43" s="43"/>
      <c r="F43" s="98"/>
      <c r="G43" s="43"/>
      <c r="H43" s="43"/>
      <c r="I43" s="22"/>
      <c r="J43" s="43"/>
      <c r="K43" s="43"/>
      <c r="L43" s="43"/>
      <c r="M43" s="43"/>
      <c r="N43" s="98"/>
      <c r="O43" s="43"/>
      <c r="P43" s="22"/>
      <c r="Q43" s="43"/>
      <c r="R43" s="43"/>
      <c r="S43" s="43"/>
      <c r="T43" s="43"/>
      <c r="U43" s="43"/>
      <c r="V43" s="43"/>
      <c r="W43" s="22"/>
      <c r="X43" s="43"/>
      <c r="Y43" s="43"/>
      <c r="Z43" s="43"/>
      <c r="AA43" s="43"/>
      <c r="AB43" s="43"/>
      <c r="AC43" s="43"/>
      <c r="AD43" s="22"/>
      <c r="AE43" s="43"/>
      <c r="AF43" s="43"/>
      <c r="AG43" s="43"/>
      <c r="AH43" s="43"/>
      <c r="AI43" s="43"/>
      <c r="AJ43" s="43"/>
      <c r="AK43" s="46">
        <f t="shared" si="5"/>
        <v>0</v>
      </c>
      <c r="AL43" s="46">
        <f t="shared" si="6"/>
        <v>0</v>
      </c>
      <c r="AM43" s="150"/>
      <c r="AN43" s="151"/>
      <c r="AO43" s="151"/>
      <c r="AP43" s="152"/>
    </row>
    <row r="44" spans="1:42" ht="14.1" customHeight="1">
      <c r="A44" s="42">
        <v>16</v>
      </c>
      <c r="B44" s="52"/>
      <c r="C44" s="43"/>
      <c r="D44" s="43"/>
      <c r="E44" s="43"/>
      <c r="F44" s="98"/>
      <c r="G44" s="43"/>
      <c r="H44" s="43"/>
      <c r="I44" s="22"/>
      <c r="J44" s="43"/>
      <c r="K44" s="43"/>
      <c r="L44" s="43"/>
      <c r="M44" s="43"/>
      <c r="N44" s="98"/>
      <c r="O44" s="43"/>
      <c r="P44" s="22"/>
      <c r="Q44" s="43"/>
      <c r="R44" s="43"/>
      <c r="S44" s="43"/>
      <c r="T44" s="43"/>
      <c r="U44" s="43"/>
      <c r="V44" s="43"/>
      <c r="W44" s="22"/>
      <c r="X44" s="43"/>
      <c r="Y44" s="43"/>
      <c r="Z44" s="43"/>
      <c r="AA44" s="43"/>
      <c r="AB44" s="43"/>
      <c r="AC44" s="43"/>
      <c r="AD44" s="22"/>
      <c r="AE44" s="43"/>
      <c r="AF44" s="43"/>
      <c r="AG44" s="43"/>
      <c r="AH44" s="43"/>
      <c r="AI44" s="43"/>
      <c r="AJ44" s="43"/>
      <c r="AK44" s="46">
        <f t="shared" si="5"/>
        <v>0</v>
      </c>
      <c r="AL44" s="46">
        <f t="shared" si="6"/>
        <v>0</v>
      </c>
      <c r="AM44" s="150"/>
      <c r="AN44" s="151"/>
      <c r="AO44" s="151"/>
      <c r="AP44" s="152"/>
    </row>
    <row r="45" spans="1:42" ht="14.1" customHeight="1">
      <c r="A45" s="42">
        <v>17</v>
      </c>
      <c r="B45" s="52"/>
      <c r="C45" s="43"/>
      <c r="D45" s="43"/>
      <c r="E45" s="43"/>
      <c r="F45" s="98"/>
      <c r="G45" s="43"/>
      <c r="H45" s="43"/>
      <c r="I45" s="22"/>
      <c r="J45" s="43"/>
      <c r="K45" s="43"/>
      <c r="L45" s="43"/>
      <c r="M45" s="43"/>
      <c r="N45" s="98"/>
      <c r="O45" s="43"/>
      <c r="P45" s="22"/>
      <c r="Q45" s="43"/>
      <c r="R45" s="43"/>
      <c r="S45" s="43"/>
      <c r="T45" s="43"/>
      <c r="U45" s="43"/>
      <c r="V45" s="43"/>
      <c r="W45" s="22"/>
      <c r="X45" s="43"/>
      <c r="Y45" s="43"/>
      <c r="Z45" s="43"/>
      <c r="AA45" s="43"/>
      <c r="AB45" s="43"/>
      <c r="AC45" s="43"/>
      <c r="AD45" s="22"/>
      <c r="AE45" s="43"/>
      <c r="AF45" s="43"/>
      <c r="AG45" s="43"/>
      <c r="AH45" s="43"/>
      <c r="AI45" s="43"/>
      <c r="AJ45" s="43"/>
      <c r="AK45" s="46">
        <f t="shared" si="5"/>
        <v>0</v>
      </c>
      <c r="AL45" s="46">
        <f t="shared" si="6"/>
        <v>0</v>
      </c>
      <c r="AM45" s="150"/>
      <c r="AN45" s="151"/>
      <c r="AO45" s="151"/>
      <c r="AP45" s="152"/>
    </row>
    <row r="46" spans="1:42" ht="14.1" customHeight="1">
      <c r="A46" s="42">
        <v>18</v>
      </c>
      <c r="B46" s="52"/>
      <c r="C46" s="43"/>
      <c r="D46" s="43"/>
      <c r="E46" s="43"/>
      <c r="F46" s="98"/>
      <c r="G46" s="43"/>
      <c r="H46" s="43"/>
      <c r="I46" s="22"/>
      <c r="J46" s="43"/>
      <c r="K46" s="43"/>
      <c r="L46" s="43"/>
      <c r="M46" s="43"/>
      <c r="N46" s="98"/>
      <c r="O46" s="43"/>
      <c r="P46" s="22"/>
      <c r="Q46" s="43"/>
      <c r="R46" s="43"/>
      <c r="S46" s="43"/>
      <c r="T46" s="43"/>
      <c r="U46" s="43"/>
      <c r="V46" s="43"/>
      <c r="W46" s="22"/>
      <c r="X46" s="43"/>
      <c r="Y46" s="43"/>
      <c r="Z46" s="43"/>
      <c r="AA46" s="43"/>
      <c r="AB46" s="43"/>
      <c r="AC46" s="43"/>
      <c r="AD46" s="22"/>
      <c r="AE46" s="43"/>
      <c r="AF46" s="43"/>
      <c r="AG46" s="43"/>
      <c r="AH46" s="43"/>
      <c r="AI46" s="43"/>
      <c r="AJ46" s="43"/>
      <c r="AK46" s="46">
        <f t="shared" si="5"/>
        <v>0</v>
      </c>
      <c r="AL46" s="46">
        <f t="shared" si="6"/>
        <v>0</v>
      </c>
      <c r="AM46" s="150"/>
      <c r="AN46" s="151"/>
      <c r="AO46" s="151"/>
      <c r="AP46" s="152"/>
    </row>
    <row r="47" spans="1:42" ht="14.1" customHeight="1">
      <c r="A47" s="42">
        <v>19</v>
      </c>
      <c r="B47" s="56"/>
      <c r="C47" s="43"/>
      <c r="D47" s="43"/>
      <c r="E47" s="43"/>
      <c r="F47" s="98"/>
      <c r="G47" s="43"/>
      <c r="H47" s="43"/>
      <c r="I47" s="22"/>
      <c r="J47" s="43"/>
      <c r="K47" s="43"/>
      <c r="L47" s="43"/>
      <c r="M47" s="43"/>
      <c r="N47" s="98"/>
      <c r="O47" s="43"/>
      <c r="P47" s="22"/>
      <c r="Q47" s="43"/>
      <c r="R47" s="43"/>
      <c r="S47" s="43"/>
      <c r="T47" s="43"/>
      <c r="U47" s="43"/>
      <c r="V47" s="43"/>
      <c r="W47" s="22"/>
      <c r="X47" s="43"/>
      <c r="Y47" s="43"/>
      <c r="Z47" s="43"/>
      <c r="AA47" s="43"/>
      <c r="AB47" s="43"/>
      <c r="AC47" s="43"/>
      <c r="AD47" s="22"/>
      <c r="AE47" s="43"/>
      <c r="AF47" s="43"/>
      <c r="AG47" s="43"/>
      <c r="AH47" s="43"/>
      <c r="AI47" s="43"/>
      <c r="AJ47" s="43"/>
      <c r="AK47" s="46">
        <f t="shared" si="5"/>
        <v>0</v>
      </c>
      <c r="AL47" s="46">
        <f t="shared" si="6"/>
        <v>0</v>
      </c>
      <c r="AM47" s="150"/>
      <c r="AN47" s="151"/>
      <c r="AO47" s="151"/>
      <c r="AP47" s="152"/>
    </row>
    <row r="48" spans="1:42" ht="14.1" customHeight="1">
      <c r="A48" s="42">
        <v>20</v>
      </c>
      <c r="B48" s="52"/>
      <c r="C48" s="43"/>
      <c r="D48" s="43"/>
      <c r="E48" s="43"/>
      <c r="F48" s="98"/>
      <c r="G48" s="43"/>
      <c r="H48" s="43"/>
      <c r="I48" s="22"/>
      <c r="J48" s="43"/>
      <c r="K48" s="43"/>
      <c r="L48" s="43"/>
      <c r="M48" s="43"/>
      <c r="N48" s="98"/>
      <c r="O48" s="43"/>
      <c r="P48" s="22"/>
      <c r="Q48" s="43"/>
      <c r="R48" s="43"/>
      <c r="S48" s="43"/>
      <c r="T48" s="43"/>
      <c r="U48" s="43"/>
      <c r="V48" s="43"/>
      <c r="W48" s="22"/>
      <c r="X48" s="43"/>
      <c r="Y48" s="43"/>
      <c r="Z48" s="43"/>
      <c r="AA48" s="43"/>
      <c r="AB48" s="43"/>
      <c r="AC48" s="43"/>
      <c r="AD48" s="22"/>
      <c r="AE48" s="43"/>
      <c r="AF48" s="43"/>
      <c r="AG48" s="43"/>
      <c r="AH48" s="43"/>
      <c r="AI48" s="43"/>
      <c r="AJ48" s="43"/>
      <c r="AK48" s="46">
        <f t="shared" si="5"/>
        <v>0</v>
      </c>
      <c r="AL48" s="46">
        <f t="shared" si="6"/>
        <v>0</v>
      </c>
      <c r="AM48" s="150"/>
      <c r="AN48" s="151"/>
      <c r="AO48" s="151"/>
      <c r="AP48" s="152"/>
    </row>
    <row r="49" spans="1:42" ht="14.1" customHeight="1">
      <c r="A49" s="42">
        <v>21</v>
      </c>
      <c r="B49" s="52"/>
      <c r="C49" s="43"/>
      <c r="D49" s="43"/>
      <c r="E49" s="43"/>
      <c r="F49" s="98"/>
      <c r="G49" s="43"/>
      <c r="H49" s="43"/>
      <c r="I49" s="22"/>
      <c r="J49" s="43"/>
      <c r="K49" s="43"/>
      <c r="L49" s="43"/>
      <c r="M49" s="43"/>
      <c r="N49" s="98"/>
      <c r="O49" s="43"/>
      <c r="P49" s="22"/>
      <c r="Q49" s="43"/>
      <c r="R49" s="43"/>
      <c r="S49" s="43"/>
      <c r="T49" s="43"/>
      <c r="U49" s="43"/>
      <c r="V49" s="43"/>
      <c r="W49" s="22"/>
      <c r="X49" s="43"/>
      <c r="Y49" s="43"/>
      <c r="Z49" s="43"/>
      <c r="AA49" s="43"/>
      <c r="AB49" s="43"/>
      <c r="AC49" s="43"/>
      <c r="AD49" s="22"/>
      <c r="AE49" s="43"/>
      <c r="AF49" s="43"/>
      <c r="AG49" s="43"/>
      <c r="AH49" s="43"/>
      <c r="AI49" s="43"/>
      <c r="AJ49" s="43"/>
      <c r="AK49" s="46">
        <f t="shared" si="5"/>
        <v>0</v>
      </c>
      <c r="AL49" s="46">
        <f t="shared" si="6"/>
        <v>0</v>
      </c>
      <c r="AM49" s="150"/>
      <c r="AN49" s="151"/>
      <c r="AO49" s="151"/>
      <c r="AP49" s="152"/>
    </row>
    <row r="50" spans="1:42" ht="14.1" customHeight="1">
      <c r="A50" s="42">
        <v>22</v>
      </c>
      <c r="B50" s="52"/>
      <c r="C50" s="43"/>
      <c r="D50" s="43"/>
      <c r="E50" s="43"/>
      <c r="F50" s="98"/>
      <c r="G50" s="43"/>
      <c r="H50" s="43"/>
      <c r="I50" s="22"/>
      <c r="J50" s="43"/>
      <c r="K50" s="43"/>
      <c r="L50" s="43"/>
      <c r="M50" s="43"/>
      <c r="N50" s="98"/>
      <c r="O50" s="43"/>
      <c r="P50" s="22"/>
      <c r="Q50" s="43"/>
      <c r="R50" s="43"/>
      <c r="S50" s="43"/>
      <c r="T50" s="43"/>
      <c r="U50" s="43"/>
      <c r="V50" s="43"/>
      <c r="W50" s="22"/>
      <c r="X50" s="43"/>
      <c r="Y50" s="43"/>
      <c r="Z50" s="43"/>
      <c r="AA50" s="43"/>
      <c r="AB50" s="43"/>
      <c r="AC50" s="43"/>
      <c r="AD50" s="22"/>
      <c r="AE50" s="43"/>
      <c r="AF50" s="43"/>
      <c r="AG50" s="43"/>
      <c r="AH50" s="43"/>
      <c r="AI50" s="43"/>
      <c r="AJ50" s="43"/>
      <c r="AK50" s="46">
        <f t="shared" si="5"/>
        <v>0</v>
      </c>
      <c r="AL50" s="46">
        <f t="shared" si="6"/>
        <v>0</v>
      </c>
      <c r="AM50" s="39"/>
      <c r="AN50" s="40"/>
      <c r="AO50" s="40"/>
      <c r="AP50" s="41"/>
    </row>
    <row r="51" spans="1:42" ht="14.1" customHeight="1">
      <c r="A51" s="42">
        <v>23</v>
      </c>
      <c r="B51" s="52"/>
      <c r="C51" s="43"/>
      <c r="D51" s="43"/>
      <c r="E51" s="43"/>
      <c r="F51" s="98"/>
      <c r="G51" s="43"/>
      <c r="H51" s="43"/>
      <c r="I51" s="22"/>
      <c r="J51" s="43"/>
      <c r="K51" s="43"/>
      <c r="L51" s="43"/>
      <c r="M51" s="43"/>
      <c r="N51" s="98"/>
      <c r="O51" s="43"/>
      <c r="P51" s="22"/>
      <c r="Q51" s="43"/>
      <c r="R51" s="43"/>
      <c r="S51" s="43"/>
      <c r="T51" s="43"/>
      <c r="U51" s="43"/>
      <c r="V51" s="43"/>
      <c r="W51" s="22"/>
      <c r="X51" s="43"/>
      <c r="Y51" s="43"/>
      <c r="Z51" s="43"/>
      <c r="AA51" s="43"/>
      <c r="AB51" s="43"/>
      <c r="AC51" s="43"/>
      <c r="AD51" s="22"/>
      <c r="AE51" s="43"/>
      <c r="AF51" s="43"/>
      <c r="AG51" s="43"/>
      <c r="AH51" s="43"/>
      <c r="AI51" s="43"/>
      <c r="AJ51" s="43"/>
      <c r="AK51" s="46">
        <f t="shared" si="5"/>
        <v>0</v>
      </c>
      <c r="AL51" s="46">
        <f t="shared" si="6"/>
        <v>0</v>
      </c>
      <c r="AM51" s="39"/>
      <c r="AN51" s="40"/>
      <c r="AO51" s="40"/>
      <c r="AP51" s="41"/>
    </row>
    <row r="52" spans="1:42" ht="14.1" customHeight="1">
      <c r="A52" s="42">
        <v>24</v>
      </c>
      <c r="B52" s="52"/>
      <c r="C52" s="43"/>
      <c r="D52" s="43"/>
      <c r="E52" s="43"/>
      <c r="F52" s="98"/>
      <c r="G52" s="43"/>
      <c r="H52" s="43"/>
      <c r="I52" s="22"/>
      <c r="J52" s="43"/>
      <c r="K52" s="43"/>
      <c r="L52" s="43"/>
      <c r="M52" s="43"/>
      <c r="N52" s="98"/>
      <c r="O52" s="43"/>
      <c r="P52" s="22"/>
      <c r="Q52" s="43"/>
      <c r="R52" s="43"/>
      <c r="S52" s="43"/>
      <c r="T52" s="43"/>
      <c r="U52" s="43"/>
      <c r="V52" s="43"/>
      <c r="W52" s="22"/>
      <c r="X52" s="43"/>
      <c r="Y52" s="43"/>
      <c r="Z52" s="43"/>
      <c r="AA52" s="43"/>
      <c r="AB52" s="43"/>
      <c r="AC52" s="43"/>
      <c r="AD52" s="22"/>
      <c r="AE52" s="43"/>
      <c r="AF52" s="43"/>
      <c r="AG52" s="43"/>
      <c r="AH52" s="43"/>
      <c r="AI52" s="43"/>
      <c r="AJ52" s="43"/>
      <c r="AK52" s="46">
        <f t="shared" si="5"/>
        <v>0</v>
      </c>
      <c r="AL52" s="46">
        <f t="shared" si="6"/>
        <v>0</v>
      </c>
      <c r="AM52" s="39"/>
      <c r="AN52" s="40"/>
      <c r="AO52" s="40"/>
      <c r="AP52" s="41"/>
    </row>
    <row r="53" spans="1:42" ht="14.1" customHeight="1">
      <c r="A53" s="42">
        <v>25</v>
      </c>
      <c r="B53" s="52"/>
      <c r="C53" s="43"/>
      <c r="D53" s="43"/>
      <c r="E53" s="43"/>
      <c r="F53" s="98"/>
      <c r="G53" s="43"/>
      <c r="H53" s="43"/>
      <c r="I53" s="22"/>
      <c r="J53" s="43"/>
      <c r="K53" s="43"/>
      <c r="L53" s="43"/>
      <c r="M53" s="43"/>
      <c r="N53" s="98"/>
      <c r="O53" s="43"/>
      <c r="P53" s="22"/>
      <c r="Q53" s="43"/>
      <c r="R53" s="43"/>
      <c r="S53" s="43"/>
      <c r="T53" s="43"/>
      <c r="U53" s="43"/>
      <c r="V53" s="43"/>
      <c r="W53" s="22"/>
      <c r="X53" s="43"/>
      <c r="Y53" s="43"/>
      <c r="Z53" s="43"/>
      <c r="AA53" s="43"/>
      <c r="AB53" s="43"/>
      <c r="AC53" s="43"/>
      <c r="AD53" s="22"/>
      <c r="AE53" s="43"/>
      <c r="AF53" s="43"/>
      <c r="AG53" s="43"/>
      <c r="AH53" s="43"/>
      <c r="AI53" s="43"/>
      <c r="AJ53" s="43"/>
      <c r="AK53" s="46">
        <f t="shared" si="5"/>
        <v>0</v>
      </c>
      <c r="AL53" s="46">
        <f t="shared" si="6"/>
        <v>0</v>
      </c>
      <c r="AM53" s="39"/>
      <c r="AN53" s="40"/>
      <c r="AO53" s="40"/>
      <c r="AP53" s="41"/>
    </row>
    <row r="54" spans="1:42" ht="14.1" customHeight="1">
      <c r="A54" s="42">
        <v>26</v>
      </c>
      <c r="B54" s="52"/>
      <c r="C54" s="43"/>
      <c r="D54" s="43"/>
      <c r="E54" s="43"/>
      <c r="F54" s="98"/>
      <c r="G54" s="43"/>
      <c r="H54" s="43"/>
      <c r="I54" s="22"/>
      <c r="J54" s="43"/>
      <c r="K54" s="43"/>
      <c r="L54" s="43"/>
      <c r="M54" s="43"/>
      <c r="N54" s="98"/>
      <c r="O54" s="43"/>
      <c r="P54" s="22"/>
      <c r="Q54" s="43"/>
      <c r="R54" s="43"/>
      <c r="S54" s="43"/>
      <c r="T54" s="43"/>
      <c r="U54" s="43"/>
      <c r="V54" s="43"/>
      <c r="W54" s="22"/>
      <c r="X54" s="43"/>
      <c r="Y54" s="43"/>
      <c r="Z54" s="43"/>
      <c r="AA54" s="43"/>
      <c r="AB54" s="43"/>
      <c r="AC54" s="43"/>
      <c r="AD54" s="22"/>
      <c r="AE54" s="43"/>
      <c r="AF54" s="43"/>
      <c r="AG54" s="43"/>
      <c r="AH54" s="43"/>
      <c r="AI54" s="43"/>
      <c r="AJ54" s="43"/>
      <c r="AK54" s="46">
        <f t="shared" si="5"/>
        <v>0</v>
      </c>
      <c r="AL54" s="46">
        <f t="shared" si="6"/>
        <v>0</v>
      </c>
      <c r="AM54" s="39"/>
      <c r="AN54" s="40"/>
      <c r="AO54" s="40"/>
      <c r="AP54" s="41"/>
    </row>
    <row r="55" spans="1:42" ht="14.1" customHeight="1">
      <c r="A55" s="42">
        <v>27</v>
      </c>
      <c r="B55" s="52"/>
      <c r="C55" s="43"/>
      <c r="D55" s="43"/>
      <c r="E55" s="43"/>
      <c r="F55" s="98"/>
      <c r="G55" s="43"/>
      <c r="H55" s="43"/>
      <c r="I55" s="22"/>
      <c r="J55" s="43"/>
      <c r="K55" s="43"/>
      <c r="L55" s="43"/>
      <c r="M55" s="43"/>
      <c r="N55" s="98"/>
      <c r="O55" s="43"/>
      <c r="P55" s="22"/>
      <c r="Q55" s="43"/>
      <c r="R55" s="43"/>
      <c r="S55" s="43"/>
      <c r="T55" s="43"/>
      <c r="U55" s="43"/>
      <c r="V55" s="43"/>
      <c r="W55" s="22"/>
      <c r="X55" s="43"/>
      <c r="Y55" s="43"/>
      <c r="Z55" s="43"/>
      <c r="AA55" s="43"/>
      <c r="AB55" s="43"/>
      <c r="AC55" s="43"/>
      <c r="AD55" s="22"/>
      <c r="AE55" s="43"/>
      <c r="AF55" s="43"/>
      <c r="AG55" s="43"/>
      <c r="AH55" s="43"/>
      <c r="AI55" s="43"/>
      <c r="AJ55" s="43"/>
      <c r="AK55" s="46">
        <f t="shared" si="5"/>
        <v>0</v>
      </c>
      <c r="AL55" s="46">
        <f t="shared" si="6"/>
        <v>0</v>
      </c>
      <c r="AM55" s="39"/>
      <c r="AN55" s="40"/>
      <c r="AO55" s="40"/>
      <c r="AP55" s="41"/>
    </row>
    <row r="56" spans="1:42" ht="14.1" customHeight="1">
      <c r="A56" s="42">
        <v>28</v>
      </c>
      <c r="B56" s="52"/>
      <c r="C56" s="43"/>
      <c r="D56" s="43"/>
      <c r="E56" s="43"/>
      <c r="F56" s="98"/>
      <c r="G56" s="43"/>
      <c r="H56" s="43"/>
      <c r="I56" s="22"/>
      <c r="J56" s="43"/>
      <c r="K56" s="43"/>
      <c r="L56" s="43"/>
      <c r="M56" s="43"/>
      <c r="N56" s="98"/>
      <c r="O56" s="43"/>
      <c r="P56" s="22"/>
      <c r="Q56" s="43"/>
      <c r="R56" s="43"/>
      <c r="S56" s="43"/>
      <c r="T56" s="43"/>
      <c r="U56" s="43"/>
      <c r="V56" s="43"/>
      <c r="W56" s="22"/>
      <c r="X56" s="43"/>
      <c r="Y56" s="43"/>
      <c r="Z56" s="43"/>
      <c r="AA56" s="43"/>
      <c r="AB56" s="43"/>
      <c r="AC56" s="43"/>
      <c r="AD56" s="22"/>
      <c r="AE56" s="43"/>
      <c r="AF56" s="43"/>
      <c r="AG56" s="43"/>
      <c r="AH56" s="43"/>
      <c r="AI56" s="43"/>
      <c r="AJ56" s="43"/>
      <c r="AK56" s="46">
        <f t="shared" si="5"/>
        <v>0</v>
      </c>
      <c r="AL56" s="46">
        <f t="shared" si="6"/>
        <v>0</v>
      </c>
      <c r="AM56" s="39"/>
      <c r="AN56" s="40"/>
      <c r="AO56" s="40"/>
      <c r="AP56" s="41"/>
    </row>
    <row r="57" spans="1:42" ht="14.1" customHeight="1">
      <c r="A57" s="42">
        <v>29</v>
      </c>
      <c r="B57" s="52"/>
      <c r="C57" s="43"/>
      <c r="D57" s="43"/>
      <c r="E57" s="43"/>
      <c r="F57" s="98"/>
      <c r="G57" s="43"/>
      <c r="H57" s="43"/>
      <c r="I57" s="22"/>
      <c r="J57" s="43"/>
      <c r="K57" s="43"/>
      <c r="L57" s="43"/>
      <c r="M57" s="43"/>
      <c r="N57" s="98"/>
      <c r="O57" s="43"/>
      <c r="P57" s="22"/>
      <c r="Q57" s="43"/>
      <c r="R57" s="43"/>
      <c r="S57" s="43"/>
      <c r="T57" s="43"/>
      <c r="U57" s="43"/>
      <c r="V57" s="43"/>
      <c r="W57" s="22"/>
      <c r="X57" s="43"/>
      <c r="Y57" s="43"/>
      <c r="Z57" s="43"/>
      <c r="AA57" s="43"/>
      <c r="AB57" s="43"/>
      <c r="AC57" s="43"/>
      <c r="AD57" s="22"/>
      <c r="AE57" s="43"/>
      <c r="AF57" s="43"/>
      <c r="AG57" s="43"/>
      <c r="AH57" s="43"/>
      <c r="AI57" s="43"/>
      <c r="AJ57" s="43"/>
      <c r="AK57" s="46">
        <f t="shared" si="5"/>
        <v>0</v>
      </c>
      <c r="AL57" s="46">
        <f t="shared" si="6"/>
        <v>0</v>
      </c>
      <c r="AM57" s="39"/>
      <c r="AN57" s="40"/>
      <c r="AO57" s="40"/>
      <c r="AP57" s="41"/>
    </row>
    <row r="58" spans="1:42" ht="14.1" customHeight="1">
      <c r="A58" s="42">
        <v>30</v>
      </c>
      <c r="B58" s="52"/>
      <c r="C58" s="43"/>
      <c r="D58" s="43"/>
      <c r="E58" s="43"/>
      <c r="F58" s="98"/>
      <c r="G58" s="43"/>
      <c r="H58" s="43"/>
      <c r="I58" s="22"/>
      <c r="J58" s="43"/>
      <c r="K58" s="43"/>
      <c r="L58" s="43"/>
      <c r="M58" s="43"/>
      <c r="N58" s="98"/>
      <c r="O58" s="43"/>
      <c r="P58" s="22"/>
      <c r="Q58" s="43"/>
      <c r="R58" s="43"/>
      <c r="S58" s="43"/>
      <c r="T58" s="43"/>
      <c r="U58" s="43"/>
      <c r="V58" s="43"/>
      <c r="W58" s="22"/>
      <c r="X58" s="43"/>
      <c r="Y58" s="43"/>
      <c r="Z58" s="43"/>
      <c r="AA58" s="43"/>
      <c r="AB58" s="43"/>
      <c r="AC58" s="43"/>
      <c r="AD58" s="22"/>
      <c r="AE58" s="43"/>
      <c r="AF58" s="43"/>
      <c r="AG58" s="43"/>
      <c r="AH58" s="43"/>
      <c r="AI58" s="43"/>
      <c r="AJ58" s="43"/>
      <c r="AK58" s="46">
        <f t="shared" si="5"/>
        <v>0</v>
      </c>
      <c r="AL58" s="46">
        <f t="shared" si="6"/>
        <v>0</v>
      </c>
      <c r="AM58" s="39"/>
      <c r="AN58" s="40"/>
      <c r="AO58" s="40"/>
      <c r="AP58" s="41"/>
    </row>
    <row r="59" spans="1:42" ht="14.1" customHeight="1">
      <c r="A59" s="42">
        <v>31</v>
      </c>
      <c r="B59" s="52"/>
      <c r="C59" s="43"/>
      <c r="D59" s="43"/>
      <c r="E59" s="43"/>
      <c r="F59" s="98"/>
      <c r="G59" s="43"/>
      <c r="H59" s="43"/>
      <c r="I59" s="22"/>
      <c r="J59" s="43"/>
      <c r="K59" s="43"/>
      <c r="L59" s="43"/>
      <c r="M59" s="43"/>
      <c r="N59" s="98"/>
      <c r="O59" s="43"/>
      <c r="P59" s="22"/>
      <c r="Q59" s="43"/>
      <c r="R59" s="43"/>
      <c r="S59" s="43"/>
      <c r="T59" s="43"/>
      <c r="U59" s="43"/>
      <c r="V59" s="43"/>
      <c r="W59" s="22"/>
      <c r="X59" s="43"/>
      <c r="Y59" s="43"/>
      <c r="Z59" s="43"/>
      <c r="AA59" s="43"/>
      <c r="AB59" s="43"/>
      <c r="AC59" s="43"/>
      <c r="AD59" s="22"/>
      <c r="AE59" s="43"/>
      <c r="AF59" s="43"/>
      <c r="AG59" s="43"/>
      <c r="AH59" s="43"/>
      <c r="AI59" s="43"/>
      <c r="AJ59" s="43"/>
      <c r="AK59" s="46">
        <f t="shared" si="5"/>
        <v>0</v>
      </c>
      <c r="AL59" s="46">
        <f t="shared" si="6"/>
        <v>0</v>
      </c>
      <c r="AM59" s="39"/>
      <c r="AN59" s="40"/>
      <c r="AO59" s="40"/>
      <c r="AP59" s="41"/>
    </row>
    <row r="60" spans="1:42" ht="14.1" customHeight="1">
      <c r="A60" s="42">
        <v>32</v>
      </c>
      <c r="B60" s="52"/>
      <c r="C60" s="43"/>
      <c r="D60" s="43"/>
      <c r="E60" s="43"/>
      <c r="F60" s="98"/>
      <c r="G60" s="43"/>
      <c r="H60" s="43"/>
      <c r="I60" s="22"/>
      <c r="J60" s="43"/>
      <c r="K60" s="43"/>
      <c r="L60" s="43"/>
      <c r="M60" s="43"/>
      <c r="N60" s="98"/>
      <c r="O60" s="43"/>
      <c r="P60" s="22"/>
      <c r="Q60" s="43"/>
      <c r="R60" s="43"/>
      <c r="S60" s="43"/>
      <c r="T60" s="43"/>
      <c r="U60" s="43"/>
      <c r="V60" s="43"/>
      <c r="W60" s="22"/>
      <c r="X60" s="43"/>
      <c r="Y60" s="43"/>
      <c r="Z60" s="43"/>
      <c r="AA60" s="43"/>
      <c r="AB60" s="43"/>
      <c r="AC60" s="43"/>
      <c r="AD60" s="22"/>
      <c r="AE60" s="43"/>
      <c r="AF60" s="43"/>
      <c r="AG60" s="43"/>
      <c r="AH60" s="43"/>
      <c r="AI60" s="43"/>
      <c r="AJ60" s="43"/>
      <c r="AK60" s="46">
        <f t="shared" si="5"/>
        <v>0</v>
      </c>
      <c r="AL60" s="46">
        <f t="shared" si="6"/>
        <v>0</v>
      </c>
      <c r="AM60" s="39"/>
      <c r="AN60" s="40"/>
      <c r="AO60" s="40"/>
      <c r="AP60" s="41"/>
    </row>
    <row r="61" spans="1:42" ht="14.1" customHeight="1">
      <c r="A61" s="42">
        <v>33</v>
      </c>
      <c r="B61" s="52"/>
      <c r="C61" s="43"/>
      <c r="D61" s="43"/>
      <c r="E61" s="43"/>
      <c r="F61" s="98"/>
      <c r="G61" s="43"/>
      <c r="H61" s="43"/>
      <c r="I61" s="22"/>
      <c r="J61" s="43"/>
      <c r="K61" s="43"/>
      <c r="L61" s="43"/>
      <c r="M61" s="43"/>
      <c r="N61" s="98"/>
      <c r="O61" s="43"/>
      <c r="P61" s="22"/>
      <c r="Q61" s="43"/>
      <c r="R61" s="43"/>
      <c r="S61" s="43"/>
      <c r="T61" s="43"/>
      <c r="U61" s="43"/>
      <c r="V61" s="43"/>
      <c r="W61" s="22"/>
      <c r="X61" s="43"/>
      <c r="Y61" s="43"/>
      <c r="Z61" s="43"/>
      <c r="AA61" s="43"/>
      <c r="AB61" s="43"/>
      <c r="AC61" s="43"/>
      <c r="AD61" s="22"/>
      <c r="AE61" s="43"/>
      <c r="AF61" s="43"/>
      <c r="AG61" s="43"/>
      <c r="AH61" s="43"/>
      <c r="AI61" s="43"/>
      <c r="AJ61" s="43"/>
      <c r="AK61" s="46">
        <f t="shared" si="5"/>
        <v>0</v>
      </c>
      <c r="AL61" s="46">
        <f t="shared" si="6"/>
        <v>0</v>
      </c>
      <c r="AM61" s="39"/>
      <c r="AN61" s="40"/>
      <c r="AO61" s="40"/>
      <c r="AP61" s="41"/>
    </row>
    <row r="62" spans="1:42" ht="14.1" customHeight="1">
      <c r="A62" s="42">
        <v>34</v>
      </c>
      <c r="B62" s="56"/>
      <c r="C62" s="43"/>
      <c r="D62" s="43"/>
      <c r="E62" s="43"/>
      <c r="F62" s="98"/>
      <c r="G62" s="43"/>
      <c r="H62" s="43"/>
      <c r="I62" s="22"/>
      <c r="J62" s="43"/>
      <c r="K62" s="43"/>
      <c r="L62" s="43"/>
      <c r="M62" s="43"/>
      <c r="N62" s="98"/>
      <c r="O62" s="43"/>
      <c r="P62" s="22"/>
      <c r="Q62" s="43"/>
      <c r="R62" s="43"/>
      <c r="S62" s="43"/>
      <c r="T62" s="43"/>
      <c r="U62" s="43"/>
      <c r="V62" s="43"/>
      <c r="W62" s="22"/>
      <c r="X62" s="43"/>
      <c r="Y62" s="43"/>
      <c r="Z62" s="43"/>
      <c r="AA62" s="43"/>
      <c r="AB62" s="43"/>
      <c r="AC62" s="43"/>
      <c r="AD62" s="22"/>
      <c r="AE62" s="43"/>
      <c r="AF62" s="43"/>
      <c r="AG62" s="43"/>
      <c r="AH62" s="43"/>
      <c r="AI62" s="43"/>
      <c r="AJ62" s="43"/>
      <c r="AK62" s="46">
        <f t="shared" si="5"/>
        <v>0</v>
      </c>
      <c r="AL62" s="46">
        <f t="shared" si="6"/>
        <v>0</v>
      </c>
      <c r="AM62" s="39"/>
      <c r="AN62" s="40"/>
      <c r="AO62" s="40"/>
      <c r="AP62" s="41"/>
    </row>
    <row r="63" spans="1:42" ht="14.1" customHeight="1">
      <c r="A63" s="42">
        <v>35</v>
      </c>
      <c r="B63" s="52"/>
      <c r="C63" s="43"/>
      <c r="D63" s="43"/>
      <c r="E63" s="43"/>
      <c r="F63" s="98"/>
      <c r="G63" s="43"/>
      <c r="H63" s="43"/>
      <c r="I63" s="22"/>
      <c r="J63" s="43"/>
      <c r="K63" s="43"/>
      <c r="L63" s="43"/>
      <c r="M63" s="43"/>
      <c r="N63" s="98"/>
      <c r="O63" s="43"/>
      <c r="P63" s="22"/>
      <c r="Q63" s="43"/>
      <c r="R63" s="43"/>
      <c r="S63" s="43"/>
      <c r="T63" s="43"/>
      <c r="U63" s="43"/>
      <c r="V63" s="43"/>
      <c r="W63" s="22"/>
      <c r="X63" s="43"/>
      <c r="Y63" s="43"/>
      <c r="Z63" s="43"/>
      <c r="AA63" s="43"/>
      <c r="AB63" s="43"/>
      <c r="AC63" s="43"/>
      <c r="AD63" s="22"/>
      <c r="AE63" s="43"/>
      <c r="AF63" s="43"/>
      <c r="AG63" s="43"/>
      <c r="AH63" s="43"/>
      <c r="AI63" s="43"/>
      <c r="AJ63" s="43"/>
      <c r="AK63" s="46">
        <f t="shared" si="5"/>
        <v>0</v>
      </c>
      <c r="AL63" s="46">
        <f t="shared" si="6"/>
        <v>0</v>
      </c>
      <c r="AM63" s="150"/>
      <c r="AN63" s="151"/>
      <c r="AO63" s="151"/>
      <c r="AP63" s="152"/>
    </row>
    <row r="64" spans="1:42" ht="14.1" customHeight="1" thickBot="1">
      <c r="A64" s="50">
        <v>36</v>
      </c>
      <c r="B64" s="57"/>
      <c r="C64" s="43"/>
      <c r="D64" s="43"/>
      <c r="E64" s="43"/>
      <c r="F64" s="98"/>
      <c r="G64" s="43"/>
      <c r="H64" s="43"/>
      <c r="I64" s="22"/>
      <c r="J64" s="43"/>
      <c r="K64" s="43"/>
      <c r="L64" s="43"/>
      <c r="M64" s="43"/>
      <c r="N64" s="98"/>
      <c r="O64" s="43"/>
      <c r="P64" s="22"/>
      <c r="Q64" s="43"/>
      <c r="R64" s="43"/>
      <c r="S64" s="43"/>
      <c r="T64" s="43"/>
      <c r="U64" s="43"/>
      <c r="V64" s="43"/>
      <c r="W64" s="22"/>
      <c r="X64" s="43"/>
      <c r="Y64" s="43"/>
      <c r="Z64" s="43"/>
      <c r="AA64" s="43"/>
      <c r="AB64" s="43"/>
      <c r="AC64" s="43"/>
      <c r="AD64" s="22"/>
      <c r="AE64" s="43"/>
      <c r="AF64" s="43"/>
      <c r="AG64" s="43"/>
      <c r="AH64" s="43"/>
      <c r="AI64" s="43"/>
      <c r="AJ64" s="43"/>
      <c r="AK64" s="46">
        <f t="shared" si="5"/>
        <v>0</v>
      </c>
      <c r="AL64" s="46">
        <f t="shared" si="6"/>
        <v>0</v>
      </c>
      <c r="AM64" s="150"/>
      <c r="AN64" s="151"/>
      <c r="AO64" s="151"/>
      <c r="AP64" s="152"/>
    </row>
    <row r="65" spans="1:42" ht="15.75" thickBot="1">
      <c r="A65" s="139" t="s">
        <v>35</v>
      </c>
      <c r="B65" s="140"/>
      <c r="C65" s="48"/>
      <c r="D65" s="48"/>
      <c r="E65" s="48"/>
      <c r="F65" s="98"/>
      <c r="G65" s="48">
        <f t="shared" ref="G65:H65" si="7">ROWS(G29:G64) - COUNTIF(G29:G64,"X")</f>
        <v>36</v>
      </c>
      <c r="H65" s="48">
        <f t="shared" si="7"/>
        <v>36</v>
      </c>
      <c r="I65" s="45">
        <f t="shared" ref="I65:AD65" si="8">COUNTIF(I29:I64,"X")</f>
        <v>0</v>
      </c>
      <c r="J65" s="48">
        <f t="shared" ref="J65:O65" si="9">ROWS(J29:J64) - COUNTIF(J29:J64,"X")</f>
        <v>36</v>
      </c>
      <c r="K65" s="48">
        <f t="shared" si="9"/>
        <v>36</v>
      </c>
      <c r="L65" s="48">
        <f t="shared" si="9"/>
        <v>36</v>
      </c>
      <c r="M65" s="48">
        <f t="shared" si="9"/>
        <v>36</v>
      </c>
      <c r="N65" s="98"/>
      <c r="O65" s="48">
        <f t="shared" si="9"/>
        <v>36</v>
      </c>
      <c r="P65" s="45">
        <f t="shared" si="8"/>
        <v>0</v>
      </c>
      <c r="Q65" s="48">
        <f t="shared" ref="Q65:V65" si="10">ROWS(Q29:Q64) - COUNTIF(Q29:Q64,"X")</f>
        <v>36</v>
      </c>
      <c r="R65" s="48">
        <f t="shared" si="10"/>
        <v>36</v>
      </c>
      <c r="S65" s="48">
        <f t="shared" si="10"/>
        <v>36</v>
      </c>
      <c r="T65" s="48">
        <f t="shared" si="10"/>
        <v>36</v>
      </c>
      <c r="U65" s="48">
        <f t="shared" si="10"/>
        <v>36</v>
      </c>
      <c r="V65" s="48">
        <f t="shared" si="10"/>
        <v>36</v>
      </c>
      <c r="W65" s="45">
        <f t="shared" si="8"/>
        <v>0</v>
      </c>
      <c r="X65" s="48"/>
      <c r="Y65" s="48"/>
      <c r="Z65" s="48"/>
      <c r="AA65" s="48"/>
      <c r="AB65" s="48"/>
      <c r="AC65" s="48"/>
      <c r="AD65" s="45">
        <f t="shared" si="8"/>
        <v>0</v>
      </c>
      <c r="AE65" s="48"/>
      <c r="AF65" s="48"/>
      <c r="AG65" s="48"/>
      <c r="AH65" s="48"/>
      <c r="AI65" s="48"/>
      <c r="AJ65" s="48"/>
      <c r="AK65" s="47">
        <f>SUM(AK29:AK64)</f>
        <v>0</v>
      </c>
      <c r="AL65" s="47">
        <f>SUM(AL29:AL64)</f>
        <v>0</v>
      </c>
      <c r="AM65" s="141">
        <f>SUM(C65:AJ65)</f>
        <v>468</v>
      </c>
      <c r="AN65" s="141"/>
      <c r="AO65" s="141"/>
      <c r="AP65" s="142"/>
    </row>
    <row r="66" spans="1:42" ht="15" customHeight="1" thickBot="1">
      <c r="A66" s="139" t="s">
        <v>36</v>
      </c>
      <c r="B66" s="140"/>
      <c r="C66" s="44"/>
      <c r="D66" s="44"/>
      <c r="E66" s="44"/>
      <c r="F66" s="99"/>
      <c r="G66" s="44">
        <f>SUM(G28,G65)</f>
        <v>50</v>
      </c>
      <c r="H66" s="44">
        <f>SUM(H28,H65)</f>
        <v>50</v>
      </c>
      <c r="I66" s="21"/>
      <c r="J66" s="44">
        <f t="shared" ref="J66:O66" si="11">SUM(J28,J65)</f>
        <v>50</v>
      </c>
      <c r="K66" s="44">
        <f t="shared" si="11"/>
        <v>49</v>
      </c>
      <c r="L66" s="44">
        <f t="shared" si="11"/>
        <v>50</v>
      </c>
      <c r="M66" s="44">
        <f t="shared" si="11"/>
        <v>50</v>
      </c>
      <c r="N66" s="99"/>
      <c r="O66" s="44">
        <f t="shared" si="11"/>
        <v>50</v>
      </c>
      <c r="P66" s="21"/>
      <c r="Q66" s="44">
        <f t="shared" ref="Q66:V66" si="12">SUM(Q28,Q65)</f>
        <v>50</v>
      </c>
      <c r="R66" s="44">
        <f t="shared" si="12"/>
        <v>50</v>
      </c>
      <c r="S66" s="44">
        <f t="shared" si="12"/>
        <v>50</v>
      </c>
      <c r="T66" s="44">
        <f t="shared" si="12"/>
        <v>50</v>
      </c>
      <c r="U66" s="44">
        <f t="shared" si="12"/>
        <v>50</v>
      </c>
      <c r="V66" s="44">
        <f t="shared" si="12"/>
        <v>50</v>
      </c>
      <c r="W66" s="21"/>
      <c r="X66" s="44"/>
      <c r="Y66" s="44"/>
      <c r="Z66" s="44"/>
      <c r="AA66" s="44"/>
      <c r="AB66" s="44"/>
      <c r="AC66" s="44"/>
      <c r="AD66" s="21"/>
      <c r="AE66" s="44"/>
      <c r="AF66" s="44"/>
      <c r="AG66" s="44"/>
      <c r="AH66" s="44"/>
      <c r="AI66" s="44"/>
      <c r="AJ66" s="44"/>
      <c r="AK66" s="47">
        <f>SUM(AK28,AK65)</f>
        <v>1</v>
      </c>
      <c r="AL66" s="47">
        <f t="shared" ref="AL66" si="13">SUM(AL28,AL65)</f>
        <v>1</v>
      </c>
      <c r="AM66" s="141">
        <f>SUM(C66:AJ66)</f>
        <v>649</v>
      </c>
      <c r="AN66" s="141"/>
      <c r="AO66" s="141"/>
      <c r="AP66" s="142"/>
    </row>
    <row r="67" spans="1:42" ht="15.75" thickBot="1"/>
    <row r="68" spans="1:42" ht="38.25" customHeight="1">
      <c r="A68" s="143" t="s">
        <v>52</v>
      </c>
      <c r="B68" s="143"/>
      <c r="T68" s="144" t="s">
        <v>54</v>
      </c>
      <c r="U68" s="145"/>
      <c r="V68" s="145"/>
      <c r="W68" s="145"/>
      <c r="X68" s="145"/>
      <c r="Y68" s="145"/>
      <c r="Z68" s="145"/>
      <c r="AA68" s="145"/>
      <c r="AB68" s="145"/>
      <c r="AC68" s="145"/>
      <c r="AD68" s="145"/>
      <c r="AE68" s="145"/>
      <c r="AF68" s="145"/>
      <c r="AG68" s="146"/>
      <c r="AH68" s="37"/>
      <c r="AI68" s="37"/>
      <c r="AJ68" s="37"/>
      <c r="AK68" s="84" t="s">
        <v>12</v>
      </c>
      <c r="AL68" s="147" t="s">
        <v>13</v>
      </c>
      <c r="AM68" s="147"/>
      <c r="AN68" s="148" t="s">
        <v>15</v>
      </c>
      <c r="AO68" s="148"/>
      <c r="AP68" s="149"/>
    </row>
    <row r="69" spans="1:42" ht="22.5" customHeight="1">
      <c r="A69" s="117" t="s">
        <v>53</v>
      </c>
      <c r="B69" s="117"/>
      <c r="C69" s="117"/>
      <c r="D69" s="117"/>
      <c r="E69" s="117"/>
      <c r="F69" s="117"/>
      <c r="G69" s="117"/>
      <c r="H69" s="117"/>
      <c r="I69" s="117"/>
      <c r="J69" s="117"/>
      <c r="K69" s="117"/>
      <c r="L69" s="117"/>
      <c r="M69" s="117"/>
      <c r="N69" s="117"/>
      <c r="O69" s="117"/>
      <c r="P69" s="117"/>
      <c r="Q69" s="117"/>
      <c r="R69" s="117"/>
      <c r="S69" s="9"/>
      <c r="T69" s="100" t="s">
        <v>55</v>
      </c>
      <c r="U69" s="101"/>
      <c r="V69" s="101"/>
      <c r="W69" s="101"/>
      <c r="X69" s="101"/>
      <c r="Y69" s="101"/>
      <c r="Z69" s="101"/>
      <c r="AA69" s="101"/>
      <c r="AB69" s="101"/>
      <c r="AC69" s="101"/>
      <c r="AD69" s="101"/>
      <c r="AE69" s="101"/>
      <c r="AF69" s="101"/>
      <c r="AG69" s="102"/>
      <c r="AH69" s="36"/>
      <c r="AI69" s="36"/>
      <c r="AJ69" s="36"/>
      <c r="AK69" s="70" t="s">
        <v>97</v>
      </c>
      <c r="AL69" s="134">
        <v>13</v>
      </c>
      <c r="AM69" s="134"/>
      <c r="AN69" s="83" t="s">
        <v>16</v>
      </c>
      <c r="AO69" s="83" t="s">
        <v>17</v>
      </c>
      <c r="AP69" s="71" t="s">
        <v>18</v>
      </c>
    </row>
    <row r="70" spans="1:42" ht="29.1" customHeight="1">
      <c r="A70" s="135" t="s">
        <v>74</v>
      </c>
      <c r="B70" s="135"/>
      <c r="C70" s="135"/>
      <c r="D70" s="135"/>
      <c r="E70" s="135"/>
      <c r="F70" s="135"/>
      <c r="G70" s="135"/>
      <c r="H70" s="135"/>
      <c r="I70" s="135"/>
      <c r="J70" s="135"/>
      <c r="K70" s="135"/>
      <c r="L70" s="135"/>
      <c r="M70" s="135"/>
      <c r="N70" s="135"/>
      <c r="O70" s="135"/>
      <c r="P70" s="135"/>
      <c r="Q70" s="135"/>
      <c r="R70" s="135"/>
      <c r="S70" s="9"/>
      <c r="T70" s="100"/>
      <c r="U70" s="101"/>
      <c r="V70" s="101"/>
      <c r="W70" s="101"/>
      <c r="X70" s="101"/>
      <c r="Y70" s="101"/>
      <c r="Z70" s="101"/>
      <c r="AA70" s="101"/>
      <c r="AB70" s="101"/>
      <c r="AC70" s="101"/>
      <c r="AD70" s="101"/>
      <c r="AE70" s="101"/>
      <c r="AF70" s="101"/>
      <c r="AG70" s="102"/>
      <c r="AH70" s="36"/>
      <c r="AI70" s="36"/>
      <c r="AJ70" s="36"/>
      <c r="AK70" s="126" t="s">
        <v>19</v>
      </c>
      <c r="AL70" s="127"/>
      <c r="AM70" s="127"/>
      <c r="AN70" s="79">
        <v>14</v>
      </c>
      <c r="AO70" s="79">
        <v>36</v>
      </c>
      <c r="AP70" s="80">
        <f>AN70+AO70</f>
        <v>50</v>
      </c>
    </row>
    <row r="71" spans="1:42" ht="29.1" customHeight="1" thickBot="1">
      <c r="B71" s="133" t="s">
        <v>77</v>
      </c>
      <c r="C71" s="58"/>
      <c r="D71" s="124"/>
      <c r="E71" s="124"/>
      <c r="F71" s="124"/>
      <c r="G71" s="124"/>
      <c r="H71" s="124"/>
      <c r="I71" s="124"/>
      <c r="J71" s="124"/>
      <c r="K71" s="124"/>
      <c r="L71" s="124"/>
      <c r="M71" s="125" t="s">
        <v>76</v>
      </c>
      <c r="N71" s="125"/>
      <c r="T71" s="136" t="s">
        <v>56</v>
      </c>
      <c r="U71" s="137"/>
      <c r="V71" s="137"/>
      <c r="W71" s="137"/>
      <c r="X71" s="137"/>
      <c r="Y71" s="137"/>
      <c r="Z71" s="137"/>
      <c r="AA71" s="137"/>
      <c r="AB71" s="137"/>
      <c r="AC71" s="137"/>
      <c r="AD71" s="137"/>
      <c r="AE71" s="137"/>
      <c r="AF71" s="137"/>
      <c r="AG71" s="138"/>
      <c r="AH71" s="37"/>
      <c r="AI71" s="37"/>
      <c r="AJ71" s="37"/>
      <c r="AK71" s="126" t="s">
        <v>20</v>
      </c>
      <c r="AL71" s="127"/>
      <c r="AM71" s="127"/>
      <c r="AN71" s="79">
        <v>0</v>
      </c>
      <c r="AO71" s="79">
        <v>0</v>
      </c>
      <c r="AP71" s="80">
        <v>0</v>
      </c>
    </row>
    <row r="72" spans="1:42" ht="29.1" customHeight="1">
      <c r="B72" s="133"/>
      <c r="C72" s="58"/>
      <c r="D72" s="132"/>
      <c r="E72" s="132"/>
      <c r="F72" s="132"/>
      <c r="G72" s="132"/>
      <c r="H72" s="132"/>
      <c r="I72" s="132"/>
      <c r="J72" s="132"/>
      <c r="K72" s="132"/>
      <c r="L72" s="132"/>
      <c r="M72" s="125"/>
      <c r="N72" s="125"/>
      <c r="T72" s="136"/>
      <c r="U72" s="137"/>
      <c r="V72" s="137"/>
      <c r="W72" s="137"/>
      <c r="X72" s="137"/>
      <c r="Y72" s="137"/>
      <c r="Z72" s="137"/>
      <c r="AA72" s="137"/>
      <c r="AB72" s="137"/>
      <c r="AC72" s="137"/>
      <c r="AD72" s="137"/>
      <c r="AE72" s="137"/>
      <c r="AF72" s="137"/>
      <c r="AG72" s="138"/>
      <c r="AH72" s="37"/>
      <c r="AI72" s="37"/>
      <c r="AJ72" s="37"/>
      <c r="AK72" s="126" t="s">
        <v>21</v>
      </c>
      <c r="AL72" s="127"/>
      <c r="AM72" s="127"/>
      <c r="AN72" s="79">
        <v>14</v>
      </c>
      <c r="AO72" s="79">
        <v>36</v>
      </c>
      <c r="AP72" s="80">
        <f>AN72+AO72</f>
        <v>50</v>
      </c>
    </row>
    <row r="73" spans="1:42" ht="29.1" customHeight="1" thickBot="1">
      <c r="B73" s="133" t="s">
        <v>80</v>
      </c>
      <c r="C73" s="58"/>
      <c r="D73" s="124"/>
      <c r="E73" s="124"/>
      <c r="F73" s="124"/>
      <c r="G73" s="124"/>
      <c r="H73" s="124"/>
      <c r="I73" s="124"/>
      <c r="J73" s="124"/>
      <c r="K73" s="124"/>
      <c r="L73" s="124"/>
      <c r="M73" s="125"/>
      <c r="N73" s="125"/>
      <c r="T73" s="103" t="s">
        <v>57</v>
      </c>
      <c r="U73" s="104"/>
      <c r="V73" s="104"/>
      <c r="W73" s="104"/>
      <c r="X73" s="104"/>
      <c r="Y73" s="104"/>
      <c r="Z73" s="104"/>
      <c r="AA73" s="104"/>
      <c r="AB73" s="104"/>
      <c r="AC73" s="104"/>
      <c r="AD73" s="104"/>
      <c r="AE73" s="104"/>
      <c r="AF73" s="104"/>
      <c r="AG73" s="105"/>
      <c r="AH73" s="38"/>
      <c r="AI73" s="38"/>
      <c r="AJ73" s="38"/>
      <c r="AK73" s="126" t="s">
        <v>22</v>
      </c>
      <c r="AL73" s="127"/>
      <c r="AM73" s="127"/>
      <c r="AN73" s="81">
        <v>1</v>
      </c>
      <c r="AO73" s="81">
        <v>1</v>
      </c>
      <c r="AP73" s="82">
        <v>1</v>
      </c>
    </row>
    <row r="74" spans="1:42" ht="29.1" customHeight="1">
      <c r="B74" s="133"/>
      <c r="C74" s="58"/>
      <c r="D74" s="132"/>
      <c r="E74" s="132"/>
      <c r="F74" s="132"/>
      <c r="G74" s="132"/>
      <c r="H74" s="132"/>
      <c r="I74" s="132"/>
      <c r="J74" s="132"/>
      <c r="K74" s="132"/>
      <c r="L74" s="132"/>
      <c r="M74" s="125"/>
      <c r="N74" s="125"/>
      <c r="T74" s="100" t="s">
        <v>58</v>
      </c>
      <c r="U74" s="101"/>
      <c r="V74" s="101"/>
      <c r="W74" s="101"/>
      <c r="X74" s="101"/>
      <c r="Y74" s="101"/>
      <c r="Z74" s="101"/>
      <c r="AA74" s="101"/>
      <c r="AB74" s="101"/>
      <c r="AC74" s="101"/>
      <c r="AD74" s="101"/>
      <c r="AE74" s="101"/>
      <c r="AF74" s="101"/>
      <c r="AG74" s="102"/>
      <c r="AH74" s="36"/>
      <c r="AI74" s="36"/>
      <c r="AJ74" s="36"/>
      <c r="AK74" s="121" t="s">
        <v>99</v>
      </c>
      <c r="AL74" s="122"/>
      <c r="AM74" s="122"/>
      <c r="AN74" s="79">
        <v>14</v>
      </c>
      <c r="AO74" s="79">
        <v>36</v>
      </c>
      <c r="AP74" s="80">
        <f>AN74+AO74</f>
        <v>50</v>
      </c>
    </row>
    <row r="75" spans="1:42" ht="29.1" customHeight="1">
      <c r="T75" s="100"/>
      <c r="U75" s="101"/>
      <c r="V75" s="101"/>
      <c r="W75" s="101"/>
      <c r="X75" s="101"/>
      <c r="Y75" s="101"/>
      <c r="Z75" s="101"/>
      <c r="AA75" s="101"/>
      <c r="AB75" s="101"/>
      <c r="AC75" s="101"/>
      <c r="AD75" s="101"/>
      <c r="AE75" s="101"/>
      <c r="AF75" s="101"/>
      <c r="AG75" s="102"/>
      <c r="AH75" s="36"/>
      <c r="AI75" s="36"/>
      <c r="AJ75" s="36"/>
      <c r="AK75" s="121" t="s">
        <v>98</v>
      </c>
      <c r="AL75" s="122"/>
      <c r="AM75" s="122"/>
      <c r="AN75" s="81">
        <v>1</v>
      </c>
      <c r="AO75" s="81">
        <v>1</v>
      </c>
      <c r="AP75" s="82">
        <v>1</v>
      </c>
    </row>
    <row r="76" spans="1:42" s="2" customFormat="1" ht="29.1" customHeight="1" thickBot="1">
      <c r="B76" s="123" t="s">
        <v>82</v>
      </c>
      <c r="C76" s="59"/>
      <c r="D76" s="124"/>
      <c r="E76" s="124"/>
      <c r="F76" s="124"/>
      <c r="G76" s="124"/>
      <c r="H76" s="124"/>
      <c r="I76" s="124"/>
      <c r="J76" s="124"/>
      <c r="K76" s="124"/>
      <c r="L76" s="124"/>
      <c r="M76" s="125" t="s">
        <v>76</v>
      </c>
      <c r="N76" s="125"/>
      <c r="Q76" s="3"/>
      <c r="R76" s="3"/>
      <c r="S76" s="3"/>
      <c r="T76" s="100"/>
      <c r="U76" s="101"/>
      <c r="V76" s="101"/>
      <c r="W76" s="101"/>
      <c r="X76" s="101"/>
      <c r="Y76" s="101"/>
      <c r="Z76" s="101"/>
      <c r="AA76" s="101"/>
      <c r="AB76" s="101"/>
      <c r="AC76" s="101"/>
      <c r="AD76" s="101"/>
      <c r="AE76" s="101"/>
      <c r="AF76" s="101"/>
      <c r="AG76" s="102"/>
      <c r="AH76" s="36"/>
      <c r="AI76" s="36"/>
      <c r="AJ76" s="36"/>
      <c r="AK76" s="126" t="s">
        <v>23</v>
      </c>
      <c r="AL76" s="127"/>
      <c r="AM76" s="127"/>
      <c r="AN76" s="79">
        <v>0</v>
      </c>
      <c r="AO76" s="79">
        <v>0</v>
      </c>
      <c r="AP76" s="80">
        <v>0</v>
      </c>
    </row>
    <row r="77" spans="1:42" s="2" customFormat="1" ht="23.25" customHeight="1">
      <c r="B77" s="123"/>
      <c r="C77" s="59"/>
      <c r="D77" s="128"/>
      <c r="E77" s="128"/>
      <c r="F77" s="128"/>
      <c r="G77" s="128"/>
      <c r="H77" s="128"/>
      <c r="I77" s="128"/>
      <c r="J77" s="128"/>
      <c r="K77" s="128"/>
      <c r="L77" s="128"/>
      <c r="M77" s="125"/>
      <c r="N77" s="125"/>
      <c r="Q77" s="3"/>
      <c r="R77" s="3"/>
      <c r="S77" s="3"/>
      <c r="T77" s="103" t="s">
        <v>59</v>
      </c>
      <c r="U77" s="104"/>
      <c r="V77" s="104"/>
      <c r="W77" s="104"/>
      <c r="X77" s="104"/>
      <c r="Y77" s="104"/>
      <c r="Z77" s="104"/>
      <c r="AA77" s="104"/>
      <c r="AB77" s="104"/>
      <c r="AC77" s="104"/>
      <c r="AD77" s="104"/>
      <c r="AE77" s="104"/>
      <c r="AF77" s="104"/>
      <c r="AG77" s="105"/>
      <c r="AH77" s="38"/>
      <c r="AI77" s="38"/>
      <c r="AJ77" s="38"/>
      <c r="AK77" s="129"/>
      <c r="AL77" s="130"/>
      <c r="AM77" s="130"/>
      <c r="AN77" s="130"/>
      <c r="AO77" s="130"/>
      <c r="AP77" s="131"/>
    </row>
    <row r="78" spans="1:42" s="2" customFormat="1" ht="23.25" customHeight="1">
      <c r="Q78" s="3"/>
      <c r="R78" s="3"/>
      <c r="S78" s="3"/>
      <c r="T78" s="100" t="s">
        <v>60</v>
      </c>
      <c r="U78" s="101"/>
      <c r="V78" s="101"/>
      <c r="W78" s="101"/>
      <c r="X78" s="101"/>
      <c r="Y78" s="101"/>
      <c r="Z78" s="101"/>
      <c r="AA78" s="101"/>
      <c r="AB78" s="101"/>
      <c r="AC78" s="101"/>
      <c r="AD78" s="101"/>
      <c r="AE78" s="101"/>
      <c r="AF78" s="101"/>
      <c r="AG78" s="102"/>
      <c r="AH78" s="36"/>
      <c r="AI78" s="36"/>
      <c r="AJ78" s="36"/>
      <c r="AK78" s="115" t="s">
        <v>24</v>
      </c>
      <c r="AL78" s="116"/>
      <c r="AM78" s="116"/>
      <c r="AN78" s="74">
        <v>0</v>
      </c>
      <c r="AO78" s="74">
        <v>0</v>
      </c>
      <c r="AP78" s="75">
        <v>0</v>
      </c>
    </row>
    <row r="79" spans="1:42" s="2" customFormat="1" ht="25.5" customHeight="1">
      <c r="A79" s="117" t="s">
        <v>83</v>
      </c>
      <c r="B79" s="117"/>
      <c r="C79" s="117"/>
      <c r="D79" s="117"/>
      <c r="E79" s="117"/>
      <c r="F79" s="117"/>
      <c r="G79" s="117"/>
      <c r="H79" s="117"/>
      <c r="I79" s="117"/>
      <c r="J79" s="117"/>
      <c r="K79" s="117"/>
      <c r="L79" s="117"/>
      <c r="M79" s="117"/>
      <c r="N79" s="117"/>
      <c r="O79" s="117"/>
      <c r="P79" s="117"/>
      <c r="Q79" s="117"/>
      <c r="R79" s="117"/>
      <c r="S79" s="3"/>
      <c r="T79" s="100"/>
      <c r="U79" s="101"/>
      <c r="V79" s="101"/>
      <c r="W79" s="101"/>
      <c r="X79" s="101"/>
      <c r="Y79" s="101"/>
      <c r="Z79" s="101"/>
      <c r="AA79" s="101"/>
      <c r="AB79" s="101"/>
      <c r="AC79" s="101"/>
      <c r="AD79" s="101"/>
      <c r="AE79" s="101"/>
      <c r="AF79" s="101"/>
      <c r="AG79" s="102"/>
      <c r="AH79" s="36"/>
      <c r="AI79" s="36"/>
      <c r="AJ79" s="36"/>
      <c r="AK79" s="118" t="s">
        <v>25</v>
      </c>
      <c r="AL79" s="119"/>
      <c r="AM79" s="119"/>
      <c r="AN79" s="76">
        <v>0</v>
      </c>
      <c r="AO79" s="76">
        <v>0</v>
      </c>
      <c r="AP79" s="75">
        <v>0</v>
      </c>
    </row>
    <row r="80" spans="1:42" s="2" customFormat="1" ht="26.25" customHeight="1">
      <c r="A80" s="120" t="s">
        <v>84</v>
      </c>
      <c r="B80" s="120"/>
      <c r="C80" s="120"/>
      <c r="D80" s="120"/>
      <c r="E80" s="120"/>
      <c r="F80" s="120"/>
      <c r="G80" s="120"/>
      <c r="H80" s="120"/>
      <c r="I80" s="120"/>
      <c r="J80" s="120"/>
      <c r="K80" s="120"/>
      <c r="L80" s="120"/>
      <c r="M80" s="120"/>
      <c r="N80" s="120"/>
      <c r="O80" s="120"/>
      <c r="P80" s="120"/>
      <c r="Q80" s="120"/>
      <c r="R80" s="120"/>
      <c r="S80" s="3"/>
      <c r="T80" s="100"/>
      <c r="U80" s="101"/>
      <c r="V80" s="101"/>
      <c r="W80" s="101"/>
      <c r="X80" s="101"/>
      <c r="Y80" s="101"/>
      <c r="Z80" s="101"/>
      <c r="AA80" s="101"/>
      <c r="AB80" s="101"/>
      <c r="AC80" s="101"/>
      <c r="AD80" s="101"/>
      <c r="AE80" s="101"/>
      <c r="AF80" s="101"/>
      <c r="AG80" s="102"/>
      <c r="AH80" s="36"/>
      <c r="AI80" s="36"/>
      <c r="AJ80" s="36"/>
      <c r="AK80" s="118" t="s">
        <v>26</v>
      </c>
      <c r="AL80" s="119"/>
      <c r="AM80" s="119"/>
      <c r="AN80" s="76">
        <v>0</v>
      </c>
      <c r="AO80" s="76">
        <v>0</v>
      </c>
      <c r="AP80" s="75">
        <v>0</v>
      </c>
    </row>
    <row r="81" spans="1:44" ht="25.5" customHeight="1">
      <c r="A81" s="34" t="s">
        <v>85</v>
      </c>
      <c r="T81" s="100"/>
      <c r="U81" s="101"/>
      <c r="V81" s="101"/>
      <c r="W81" s="101"/>
      <c r="X81" s="101"/>
      <c r="Y81" s="101"/>
      <c r="Z81" s="101"/>
      <c r="AA81" s="101"/>
      <c r="AB81" s="101"/>
      <c r="AC81" s="101"/>
      <c r="AD81" s="101"/>
      <c r="AE81" s="101"/>
      <c r="AF81" s="101"/>
      <c r="AG81" s="102"/>
      <c r="AH81" s="36"/>
      <c r="AI81" s="36"/>
      <c r="AJ81" s="36"/>
      <c r="AK81" s="118" t="s">
        <v>27</v>
      </c>
      <c r="AL81" s="119"/>
      <c r="AM81" s="119"/>
      <c r="AN81" s="76">
        <v>0</v>
      </c>
      <c r="AO81" s="76">
        <v>0</v>
      </c>
      <c r="AP81" s="75">
        <v>0</v>
      </c>
    </row>
    <row r="82" spans="1:44" ht="25.5" customHeight="1" thickBot="1">
      <c r="T82" s="103" t="s">
        <v>61</v>
      </c>
      <c r="U82" s="104"/>
      <c r="V82" s="104"/>
      <c r="W82" s="104"/>
      <c r="X82" s="104"/>
      <c r="Y82" s="104"/>
      <c r="Z82" s="104"/>
      <c r="AA82" s="104"/>
      <c r="AB82" s="104"/>
      <c r="AC82" s="104"/>
      <c r="AD82" s="104"/>
      <c r="AE82" s="104"/>
      <c r="AF82" s="104"/>
      <c r="AG82" s="105"/>
      <c r="AH82" s="38"/>
      <c r="AI82" s="38"/>
      <c r="AJ82" s="38"/>
      <c r="AK82" s="111" t="s">
        <v>28</v>
      </c>
      <c r="AL82" s="112"/>
      <c r="AM82" s="112"/>
      <c r="AN82" s="77">
        <v>0</v>
      </c>
      <c r="AO82" s="77">
        <v>0</v>
      </c>
      <c r="AP82" s="78">
        <v>0</v>
      </c>
      <c r="AQ82" s="13"/>
      <c r="AR82" s="13"/>
    </row>
    <row r="83" spans="1:44" ht="15" customHeight="1">
      <c r="T83" s="100" t="s">
        <v>62</v>
      </c>
      <c r="U83" s="101"/>
      <c r="V83" s="101"/>
      <c r="W83" s="101"/>
      <c r="X83" s="101"/>
      <c r="Y83" s="101"/>
      <c r="Z83" s="101"/>
      <c r="AA83" s="101"/>
      <c r="AB83" s="101"/>
      <c r="AC83" s="101"/>
      <c r="AD83" s="101"/>
      <c r="AE83" s="101"/>
      <c r="AF83" s="101"/>
      <c r="AG83" s="102"/>
      <c r="AH83" s="36"/>
      <c r="AI83" s="36"/>
      <c r="AJ83" s="36"/>
      <c r="AK83" s="10"/>
      <c r="AL83" s="10"/>
      <c r="AM83" s="10"/>
      <c r="AN83" s="10"/>
      <c r="AO83" s="10"/>
      <c r="AP83" s="10"/>
      <c r="AQ83" s="10"/>
      <c r="AR83" s="10"/>
    </row>
    <row r="84" spans="1:44">
      <c r="T84" s="100"/>
      <c r="U84" s="101"/>
      <c r="V84" s="101"/>
      <c r="W84" s="101"/>
      <c r="X84" s="101"/>
      <c r="Y84" s="101"/>
      <c r="Z84" s="101"/>
      <c r="AA84" s="101"/>
      <c r="AB84" s="101"/>
      <c r="AC84" s="101"/>
      <c r="AD84" s="101"/>
      <c r="AE84" s="101"/>
      <c r="AF84" s="101"/>
      <c r="AG84" s="102"/>
      <c r="AH84" s="36"/>
      <c r="AI84" s="36"/>
      <c r="AJ84" s="36"/>
      <c r="AQ84" s="14"/>
      <c r="AR84" s="14"/>
    </row>
    <row r="85" spans="1:44" ht="15.75" thickBot="1">
      <c r="T85" s="100"/>
      <c r="U85" s="101"/>
      <c r="V85" s="101"/>
      <c r="W85" s="101"/>
      <c r="X85" s="101"/>
      <c r="Y85" s="101"/>
      <c r="Z85" s="101"/>
      <c r="AA85" s="101"/>
      <c r="AB85" s="101"/>
      <c r="AC85" s="101"/>
      <c r="AD85" s="101"/>
      <c r="AE85" s="101"/>
      <c r="AF85" s="101"/>
      <c r="AG85" s="102"/>
      <c r="AH85" s="36"/>
      <c r="AI85" s="36"/>
      <c r="AJ85" s="36"/>
      <c r="AK85" s="113" t="s">
        <v>108</v>
      </c>
      <c r="AL85" s="113"/>
      <c r="AM85" s="113"/>
      <c r="AN85" s="113"/>
      <c r="AO85" s="113"/>
      <c r="AP85" s="113"/>
      <c r="AQ85" s="15"/>
      <c r="AR85" s="15"/>
    </row>
    <row r="86" spans="1:44" ht="15" customHeight="1">
      <c r="T86" s="103" t="s">
        <v>63</v>
      </c>
      <c r="U86" s="104"/>
      <c r="V86" s="104"/>
      <c r="W86" s="104"/>
      <c r="X86" s="104"/>
      <c r="Y86" s="104"/>
      <c r="Z86" s="104"/>
      <c r="AA86" s="104"/>
      <c r="AB86" s="104"/>
      <c r="AC86" s="104"/>
      <c r="AD86" s="104"/>
      <c r="AE86" s="104"/>
      <c r="AF86" s="104"/>
      <c r="AG86" s="105"/>
      <c r="AH86" s="38"/>
      <c r="AI86" s="38"/>
      <c r="AJ86" s="38"/>
      <c r="AK86" s="114" t="s">
        <v>72</v>
      </c>
      <c r="AL86" s="114"/>
      <c r="AM86" s="114"/>
      <c r="AN86" s="114"/>
      <c r="AO86" s="114"/>
      <c r="AP86" s="114"/>
    </row>
    <row r="87" spans="1:44" ht="15" customHeight="1">
      <c r="T87" s="100" t="s">
        <v>64</v>
      </c>
      <c r="U87" s="101"/>
      <c r="V87" s="101"/>
      <c r="W87" s="101"/>
      <c r="X87" s="101"/>
      <c r="Y87" s="101"/>
      <c r="Z87" s="101"/>
      <c r="AA87" s="101"/>
      <c r="AB87" s="101"/>
      <c r="AC87" s="101"/>
      <c r="AD87" s="101"/>
      <c r="AE87" s="101"/>
      <c r="AF87" s="101"/>
      <c r="AG87" s="102"/>
      <c r="AH87" s="36"/>
      <c r="AI87" s="36"/>
      <c r="AJ87" s="36"/>
    </row>
    <row r="88" spans="1:44">
      <c r="T88" s="100"/>
      <c r="U88" s="101"/>
      <c r="V88" s="101"/>
      <c r="W88" s="101"/>
      <c r="X88" s="101"/>
      <c r="Y88" s="101"/>
      <c r="Z88" s="101"/>
      <c r="AA88" s="101"/>
      <c r="AB88" s="101"/>
      <c r="AC88" s="101"/>
      <c r="AD88" s="101"/>
      <c r="AE88" s="101"/>
      <c r="AF88" s="101"/>
      <c r="AG88" s="102"/>
      <c r="AH88" s="36"/>
      <c r="AI88" s="36"/>
      <c r="AJ88" s="36"/>
      <c r="AK88" s="12" t="s">
        <v>73</v>
      </c>
    </row>
    <row r="89" spans="1:44">
      <c r="T89" s="100"/>
      <c r="U89" s="101"/>
      <c r="V89" s="101"/>
      <c r="W89" s="101"/>
      <c r="X89" s="101"/>
      <c r="Y89" s="101"/>
      <c r="Z89" s="101"/>
      <c r="AA89" s="101"/>
      <c r="AB89" s="101"/>
      <c r="AC89" s="101"/>
      <c r="AD89" s="101"/>
      <c r="AE89" s="101"/>
      <c r="AF89" s="101"/>
      <c r="AG89" s="102"/>
      <c r="AH89" s="36"/>
      <c r="AI89" s="36"/>
      <c r="AJ89" s="36"/>
    </row>
    <row r="90" spans="1:44" ht="15" customHeight="1">
      <c r="T90" s="103" t="s">
        <v>65</v>
      </c>
      <c r="U90" s="104"/>
      <c r="V90" s="104"/>
      <c r="W90" s="104"/>
      <c r="X90" s="104"/>
      <c r="Y90" s="104"/>
      <c r="Z90" s="104"/>
      <c r="AA90" s="104"/>
      <c r="AB90" s="104"/>
      <c r="AC90" s="104"/>
      <c r="AD90" s="104"/>
      <c r="AE90" s="104"/>
      <c r="AF90" s="104"/>
      <c r="AG90" s="105"/>
      <c r="AH90" s="38"/>
      <c r="AI90" s="38"/>
      <c r="AJ90" s="38"/>
    </row>
    <row r="91" spans="1:44" ht="15.75" customHeight="1" thickBot="1">
      <c r="T91" s="100" t="s">
        <v>66</v>
      </c>
      <c r="U91" s="101"/>
      <c r="V91" s="101"/>
      <c r="W91" s="101"/>
      <c r="X91" s="101"/>
      <c r="Y91" s="101"/>
      <c r="Z91" s="101"/>
      <c r="AA91" s="101"/>
      <c r="AB91" s="101"/>
      <c r="AC91" s="101"/>
      <c r="AD91" s="101"/>
      <c r="AE91" s="101"/>
      <c r="AF91" s="101"/>
      <c r="AG91" s="102"/>
      <c r="AH91" s="36"/>
      <c r="AI91" s="36"/>
      <c r="AJ91" s="36"/>
      <c r="AK91" s="106" t="s">
        <v>105</v>
      </c>
      <c r="AL91" s="106"/>
      <c r="AM91" s="106"/>
      <c r="AN91" s="106"/>
      <c r="AO91" s="106"/>
      <c r="AP91" s="106"/>
      <c r="AQ91" s="16"/>
    </row>
    <row r="92" spans="1:44">
      <c r="T92" s="32"/>
      <c r="U92" s="13"/>
      <c r="V92" s="13"/>
      <c r="W92" s="13"/>
      <c r="X92" s="13"/>
      <c r="Y92" s="13"/>
      <c r="Z92" s="13"/>
      <c r="AA92" s="13"/>
      <c r="AB92" s="13"/>
      <c r="AC92" s="13"/>
      <c r="AD92" s="13"/>
      <c r="AE92" s="13"/>
      <c r="AF92" s="13"/>
      <c r="AG92" s="33"/>
      <c r="AH92" s="13"/>
      <c r="AI92" s="13"/>
      <c r="AJ92" s="13"/>
      <c r="AK92" s="107" t="s">
        <v>101</v>
      </c>
      <c r="AL92" s="107"/>
      <c r="AM92" s="107"/>
      <c r="AN92" s="107"/>
      <c r="AO92" s="107"/>
      <c r="AP92" s="107"/>
    </row>
    <row r="93" spans="1:44" ht="14.25" customHeight="1">
      <c r="T93" s="108" t="s">
        <v>67</v>
      </c>
      <c r="U93" s="109"/>
      <c r="V93" s="109"/>
      <c r="W93" s="109"/>
      <c r="X93" s="109"/>
      <c r="Y93" s="109"/>
      <c r="Z93" s="109"/>
      <c r="AA93" s="109"/>
      <c r="AB93" s="109"/>
      <c r="AC93" s="109"/>
      <c r="AD93" s="109"/>
      <c r="AE93" s="109"/>
      <c r="AF93" s="109"/>
      <c r="AG93" s="110"/>
      <c r="AH93" s="35"/>
      <c r="AI93" s="35"/>
      <c r="AJ93" s="35"/>
    </row>
    <row r="94" spans="1:44" ht="11.25" customHeight="1">
      <c r="T94" s="91" t="s">
        <v>68</v>
      </c>
      <c r="U94" s="92"/>
      <c r="V94" s="92"/>
      <c r="W94" s="92"/>
      <c r="X94" s="92"/>
      <c r="Y94" s="92"/>
      <c r="Z94" s="92"/>
      <c r="AA94" s="92"/>
      <c r="AB94" s="92"/>
      <c r="AC94" s="92"/>
      <c r="AD94" s="92"/>
      <c r="AE94" s="92"/>
      <c r="AF94" s="92"/>
      <c r="AG94" s="93"/>
      <c r="AH94" s="11"/>
      <c r="AI94" s="11"/>
      <c r="AJ94" s="11"/>
    </row>
    <row r="95" spans="1:44" ht="10.5" customHeight="1">
      <c r="T95" s="91" t="s">
        <v>69</v>
      </c>
      <c r="U95" s="92"/>
      <c r="V95" s="92"/>
      <c r="W95" s="92"/>
      <c r="X95" s="92"/>
      <c r="Y95" s="92"/>
      <c r="Z95" s="92"/>
      <c r="AA95" s="92"/>
      <c r="AB95" s="92"/>
      <c r="AC95" s="92"/>
      <c r="AD95" s="92"/>
      <c r="AE95" s="92"/>
      <c r="AF95" s="92"/>
      <c r="AG95" s="93"/>
      <c r="AH95" s="11"/>
      <c r="AI95" s="11"/>
      <c r="AJ95" s="11"/>
    </row>
    <row r="96" spans="1:44" ht="12" customHeight="1">
      <c r="T96" s="91" t="s">
        <v>70</v>
      </c>
      <c r="U96" s="92"/>
      <c r="V96" s="92"/>
      <c r="W96" s="92"/>
      <c r="X96" s="92"/>
      <c r="Y96" s="92"/>
      <c r="Z96" s="92"/>
      <c r="AA96" s="92"/>
      <c r="AB96" s="92"/>
      <c r="AC96" s="92"/>
      <c r="AD96" s="92"/>
      <c r="AE96" s="92"/>
      <c r="AF96" s="92"/>
      <c r="AG96" s="93"/>
      <c r="AH96" s="11"/>
      <c r="AI96" s="11"/>
      <c r="AJ96" s="11"/>
    </row>
    <row r="97" spans="20:36" ht="12" customHeight="1" thickBot="1">
      <c r="T97" s="94" t="s">
        <v>71</v>
      </c>
      <c r="U97" s="95"/>
      <c r="V97" s="95"/>
      <c r="W97" s="95"/>
      <c r="X97" s="95"/>
      <c r="Y97" s="95"/>
      <c r="Z97" s="95"/>
      <c r="AA97" s="95"/>
      <c r="AB97" s="95"/>
      <c r="AC97" s="95"/>
      <c r="AD97" s="95"/>
      <c r="AE97" s="95"/>
      <c r="AF97" s="95"/>
      <c r="AG97" s="96"/>
      <c r="AH97" s="11"/>
      <c r="AI97" s="11"/>
      <c r="AJ97" s="11"/>
    </row>
  </sheetData>
  <mergeCells count="126">
    <mergeCell ref="AK91:AP91"/>
    <mergeCell ref="AK92:AP92"/>
    <mergeCell ref="F14:F66"/>
    <mergeCell ref="N14:N66"/>
    <mergeCell ref="D77:L77"/>
    <mergeCell ref="AK77:AP77"/>
    <mergeCell ref="AK78:AM78"/>
    <mergeCell ref="AK79:AM79"/>
    <mergeCell ref="AK80:AM80"/>
    <mergeCell ref="AK81:AM81"/>
    <mergeCell ref="AK82:AM82"/>
    <mergeCell ref="AK85:AP85"/>
    <mergeCell ref="AK86:AP86"/>
    <mergeCell ref="D72:L72"/>
    <mergeCell ref="AK72:AM72"/>
    <mergeCell ref="D73:L73"/>
    <mergeCell ref="AK73:AM73"/>
    <mergeCell ref="D74:L74"/>
    <mergeCell ref="AK74:AM74"/>
    <mergeCell ref="AK75:AM75"/>
    <mergeCell ref="D76:L76"/>
    <mergeCell ref="AK76:AM76"/>
    <mergeCell ref="AM41:AP41"/>
    <mergeCell ref="AM42:AP42"/>
    <mergeCell ref="AM43:AP43"/>
    <mergeCell ref="AM44:AP44"/>
    <mergeCell ref="AM45:AP45"/>
    <mergeCell ref="AM46:AP46"/>
    <mergeCell ref="AM47:AP47"/>
    <mergeCell ref="AM48:AP48"/>
    <mergeCell ref="AM49:AP49"/>
    <mergeCell ref="AM32:AP32"/>
    <mergeCell ref="AM33:AP33"/>
    <mergeCell ref="AM34:AP34"/>
    <mergeCell ref="AM35:AP35"/>
    <mergeCell ref="AM36:AP36"/>
    <mergeCell ref="AM37:AP37"/>
    <mergeCell ref="AM38:AP38"/>
    <mergeCell ref="AM39:AP39"/>
    <mergeCell ref="AM40:AP40"/>
    <mergeCell ref="AM22:AP22"/>
    <mergeCell ref="AM23:AP23"/>
    <mergeCell ref="AM24:AP24"/>
    <mergeCell ref="AM25:AP25"/>
    <mergeCell ref="AM27:AP27"/>
    <mergeCell ref="AM28:AP28"/>
    <mergeCell ref="AM29:AP29"/>
    <mergeCell ref="AM30:AP30"/>
    <mergeCell ref="AM31:AP31"/>
    <mergeCell ref="AM13:AP13"/>
    <mergeCell ref="AM14:AP14"/>
    <mergeCell ref="AM15:AP15"/>
    <mergeCell ref="AM16:AP16"/>
    <mergeCell ref="AM17:AP17"/>
    <mergeCell ref="AM18:AP18"/>
    <mergeCell ref="AM19:AP19"/>
    <mergeCell ref="AM20:AP20"/>
    <mergeCell ref="AM21:AP21"/>
    <mergeCell ref="D8:M8"/>
    <mergeCell ref="N8:R8"/>
    <mergeCell ref="S8:AJ8"/>
    <mergeCell ref="AL8:AP8"/>
    <mergeCell ref="C10:AJ11"/>
    <mergeCell ref="AK10:AL12"/>
    <mergeCell ref="AM10:AP10"/>
    <mergeCell ref="AM11:AP11"/>
    <mergeCell ref="AM12:AP12"/>
    <mergeCell ref="A28:B28"/>
    <mergeCell ref="A10:A13"/>
    <mergeCell ref="B10:B11"/>
    <mergeCell ref="B12:B13"/>
    <mergeCell ref="B73:B74"/>
    <mergeCell ref="B76:B77"/>
    <mergeCell ref="B71:B72"/>
    <mergeCell ref="M71:N72"/>
    <mergeCell ref="T71:AG72"/>
    <mergeCell ref="A68:B68"/>
    <mergeCell ref="T68:AG68"/>
    <mergeCell ref="A65:B65"/>
    <mergeCell ref="A66:B66"/>
    <mergeCell ref="M76:N77"/>
    <mergeCell ref="A69:R69"/>
    <mergeCell ref="T69:AG70"/>
    <mergeCell ref="T77:AG77"/>
    <mergeCell ref="M73:N74"/>
    <mergeCell ref="T73:AG73"/>
    <mergeCell ref="T74:AG76"/>
    <mergeCell ref="A70:R70"/>
    <mergeCell ref="D71:L71"/>
    <mergeCell ref="N4:R4"/>
    <mergeCell ref="S4:W4"/>
    <mergeCell ref="Z4:AB4"/>
    <mergeCell ref="N6:R6"/>
    <mergeCell ref="S6:W6"/>
    <mergeCell ref="X6:AA6"/>
    <mergeCell ref="A2:AP2"/>
    <mergeCell ref="D4:M4"/>
    <mergeCell ref="AC4:AK4"/>
    <mergeCell ref="AL4:AM4"/>
    <mergeCell ref="AN4:AP4"/>
    <mergeCell ref="D6:M6"/>
    <mergeCell ref="AL6:AP6"/>
    <mergeCell ref="AB6:AE6"/>
    <mergeCell ref="AM63:AP63"/>
    <mergeCell ref="AM64:AP64"/>
    <mergeCell ref="AM65:AP65"/>
    <mergeCell ref="AM66:AP66"/>
    <mergeCell ref="AL68:AM68"/>
    <mergeCell ref="AN68:AP68"/>
    <mergeCell ref="AL69:AM69"/>
    <mergeCell ref="AK70:AM70"/>
    <mergeCell ref="AK71:AM71"/>
    <mergeCell ref="T93:AG93"/>
    <mergeCell ref="T94:AG94"/>
    <mergeCell ref="T95:AG95"/>
    <mergeCell ref="T96:AG96"/>
    <mergeCell ref="T97:AG97"/>
    <mergeCell ref="A80:R80"/>
    <mergeCell ref="T82:AG82"/>
    <mergeCell ref="T83:AG85"/>
    <mergeCell ref="T86:AG86"/>
    <mergeCell ref="T90:AG90"/>
    <mergeCell ref="T91:AG91"/>
    <mergeCell ref="T87:AG89"/>
    <mergeCell ref="T78:AG81"/>
    <mergeCell ref="A79:R79"/>
  </mergeCells>
  <pageMargins left="0.12" right="0.12" top="0.41" bottom="0.12" header="0.3" footer="0.12"/>
  <pageSetup paperSize="9" scale="73" fitToHeight="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REMINDERS</vt:lpstr>
      <vt:lpstr>JUNE</vt:lpstr>
      <vt:lpstr>JULY</vt:lpstr>
      <vt:lpstr>AUGUST</vt:lpstr>
      <vt:lpstr>SEPTEMBER</vt:lpstr>
      <vt:lpstr>OCTOBER</vt:lpstr>
      <vt:lpstr>NOVEMBER</vt:lpstr>
      <vt:lpstr>DECEMBER</vt:lpstr>
      <vt:lpstr>JANUARY</vt:lpstr>
      <vt:lpstr>FEBRUARY</vt:lpstr>
      <vt:lpstr>MARCH</vt:lpstr>
      <vt:lpstr>APRIL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BEDSecretary</dc:creator>
  <cp:lastModifiedBy>MHARNIEL ALIGANGA</cp:lastModifiedBy>
  <cp:lastPrinted>2026-04-29T03:40:05Z</cp:lastPrinted>
  <dcterms:created xsi:type="dcterms:W3CDTF">2022-04-12T08:33:20Z</dcterms:created>
  <dcterms:modified xsi:type="dcterms:W3CDTF">2026-08-04T07:09:16Z</dcterms:modified>
</cp:coreProperties>
</file>